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D7A2FD1E-1685-4D1A-ADD2-28FD41FF9F41}" xr6:coauthVersionLast="47" xr6:coauthVersionMax="47" xr10:uidLastSave="{00000000-0000-0000-0000-000000000000}"/>
  <bookViews>
    <workbookView xWindow="-110" yWindow="-110" windowWidth="19420" windowHeight="11020" firstSheet="4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3" i="18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2" i="18" a="1"/>
  <c r="K2" i="18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<sst xmlns="http://schemas.openxmlformats.org/spreadsheetml/2006/main" count="341" uniqueCount="254">
  <si>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</si>
  <si>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</si>
  <si>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</si>
  <si>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</si>
  <si>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</si>
  <si>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</si>
  <si>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</si>
  <si>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</si>
  <si>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</si>
  <si>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</si>
  <si>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</si>
  <si>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</si>
  <si>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</si>
  <si>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</si>
  <si>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</si>
  <si>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</si>
  <si>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</si>
  <si>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</si>
  <si>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</si>
  <si>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</si>
  <si>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</si>
  <si>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</si>
  <si>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</si>
  <si>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</si>
  <si>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</si>
  <si>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</si>
  <si>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</si>
  <si>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</si>
  <si>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</si>
  <si>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</si>
  <si>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</si>
  <si>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</si>
  <si>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</si>
  <si>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</si>
  <si>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</si>
  <si>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</si>
  <si>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</si>
  <si>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</si>
  <si>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</si>
  <si>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</si>
  <si>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</si>
  <si>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</si>
  <si>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</si>
  <si>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</si>
  <si>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</si>
  <si>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</si>
  <si>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</si>
  <si>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</si>
  <si>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</si>
  <si>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</si>
  <si>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</si>
  <si>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</si>
  <si>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</si>
  <si>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</si>
  <si>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</si>
  <si>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</si>
  <si>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</si>
  <si>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</si>
  <si>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</si>
  <si>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</si>
  <si>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</si>
  <si>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</si>
  <si>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</si>
  <si>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</si>
  <si>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</si>
  <si>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</si>
  <si>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</si>
  <si>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</si>
  <si>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</si>
  <si>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</si>
  <si>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</si>
  <si>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</si>
  <si>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</si>
  <si>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</si>
  <si>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</si>
  <si>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</si>
  <si>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</si>
  <si>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</si>
  <si>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</si>
  <si>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</si>
  <si>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</si>
  <si>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</si>
  <si>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</si>
  <si>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</si>
  <si>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</si>
  <si>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</si>
  <si>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</si>
  <si>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</si>
  <si>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</si>
  <si>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</si>
  <si>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</si>
  <si>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</si>
  <si>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</si>
  <si>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</si>
  <si>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</si>
  <si>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</si>
  <si>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</si>
  <si>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</si>
  <si>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</si>
  <si>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</si>
  <si>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</si>
  <si>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</si>
  <si>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</si>
  <si>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</si>
  <si>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</si>
  <si>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</si>
  <si>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</si>
  <si>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</si>
  <si>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</si>
  <si>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</si>
  <si>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</si>
  <si>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</si>
  <si>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</si>
  <si>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</si>
  <si>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</si>
  <si>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</si>
  <si>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</si>
  <si>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</si>
  <si>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</si>
  <si>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</si>
  <si>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</si>
  <si>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</si>
  <si>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</si>
  <si>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</si>
  <si>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</si>
  <si>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</si>
  <si>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</si>
  <si>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</si>
  <si>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</si>
  <si>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</si>
  <si>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</si>
  <si>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</si>
  <si>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</si>
  <si>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</si>
  <si>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</si>
  <si>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</si>
  <si>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</si>
  <si>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</si>
  <si>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</si>
  <si>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</si>
  <si>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</si>
  <si>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</si>
  <si>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</si>
  <si>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</si>
  <si>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</si>
  <si>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</si>
  <si>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</si>
  <si>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</si>
  <si>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</si>
  <si>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</si>
  <si>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</si>
  <si>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</si>
  <si>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</si>
  <si>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</si>
  <si>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</si>
  <si>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</si>
  <si>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</si>
  <si>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</si>
  <si>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</si>
  <si>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</si>
  <si>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</si>
  <si>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</si>
  <si>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</si>
  <si>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</si>
  <si>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</si>
  <si>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</si>
  <si>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</si>
  <si>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</si>
  <si>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</si>
  <si>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</si>
  <si>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</si>
  <si>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</si>
  <si>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</si>
  <si>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</si>
  <si>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</si>
  <si>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</si>
  <si>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</si>
  <si>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</si>
  <si>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</si>
  <si>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</si>
  <si>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</si>
  <si>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</si>
  <si>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</si>
  <si>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</si>
  <si>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</si>
  <si>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</si>
  <si>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</si>
  <si>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</si>
  <si>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</si>
  <si>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</si>
  <si>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</si>
  <si>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</si>
  <si>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</si>
  <si>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</si>
  <si>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</si>
  <si>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</si>
  <si>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</si>
  <si>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</si>
  <si>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</si>
  <si>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</si>
  <si>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</si>
  <si>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</si>
  <si>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</si>
  <si>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</si>
  <si>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</si>
  <si>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</si>
  <si>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</si>
  <si>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</si>
  <si>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</si>
  <si>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</si>
  <si>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</si>
  <si>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</si>
  <si>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</si>
  <si>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</si>
  <si>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</si>
  <si>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</si>
  <si>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</si>
  <si>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</si>
  <si>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</si>
  <si>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</si>
  <si>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</si>
  <si>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</si>
  <si>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</si>
  <si>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</si>
  <si>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</si>
  <si>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</si>
  <si>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</si>
  <si>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</si>
  <si>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</si>
  <si>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</si>
  <si>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</si>
  <si>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</si>
  <si>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</si>
  <si>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</si>
  <si>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</si>
  <si>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</si>
  <si>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</si>
  <si>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</si>
  <si>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</si>
  <si>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</si>
  <si>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</si>
  <si>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</si>
  <si>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</si>
  <si>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</si>
  <si>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</si>
  <si>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</si>
  <si>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</si>
  <si>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</si>
  <si>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</si>
  <si>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</si>
  <si>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 xml:space="preserve">Velocidad de respuesta </t>
  </si>
  <si>
    <t>Estado de Conexión</t>
  </si>
  <si>
    <t>[OK]</t>
  </si>
  <si>
    <t>[ERROR]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</si>
</sst>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2" borderId="4" xfId="0" applyFont="1" applyFill="1" applyBorder="1" applyAlignment="1">
      <alignment horizontal="center" vertical="center"/>
    </xf>
    <xf numFmtId="0" fontId="0" fillId="5" borderId="5" xfId="0" applyFill="1" applyBorder="1"/>
    <xf numFmtId="49" fontId="11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  <xf numFmtId="49" fontId="0" fillId="5" borderId="5" xfId="0" applyNumberFormat="1" applyFill="1" applyBorder="1" applyAlignment="1">
      <alignment horizontal="left" vertical="center"/>
    </xf>
    <xf numFmtId="49" fontId="0" fillId="5" borderId="2" xfId="0" applyNumberFormat="1" applyFill="1" applyBorder="1" applyAlignment="1">
      <alignment horizontal="left" vertical="center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5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641350</xdr:colOff>
          <xdr:row>3</xdr:row>
          <xdr:rowOff>127000</xdr:rowOff>
        </xdr:from>
        <xdr:to>
          <xdr:col>6</xdr:col>
          <xdr:colOff>876300</xdr:colOff>
          <xdr:row>6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3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8" dataDxfId="47">
  <autoFilter ref="A1:D49" xr:uid="{7E458205-B524-4893-8F4D-5AD9C32C1DB1}"/>
  <tableColumns count="4">
    <tableColumn id="9" xr3:uid="{01274717-D802-4E0B-B759-CF29B3AC66D4}" name="Linea" dataDxfId="46"/>
    <tableColumn id="1" xr3:uid="{CAACD12C-D1EE-4308-9E4A-8A5F3CC6EB3D}" name="Número" dataDxfId="45"/>
    <tableColumn id="2" xr3:uid="{F3BCB6C4-7176-4EF8-81E7-38DE67FC910A}" name="Estación" dataDxfId="44"/>
    <tableColumn id="8" xr3:uid="{DE548BF0-9331-40D2-BFFD-5751A7C3BC9B}" name="IP" dataDxfId="43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42" dataDxfId="41">
  <autoFilter ref="A1:D38" xr:uid="{CF63B8E9-037F-456D-B9CE-A641C7E05743}"/>
  <tableColumns count="4">
    <tableColumn id="8" xr3:uid="{69F0C78F-CE14-41C7-9A46-C6D9E9417C15}" name="Linea" dataDxfId="40"/>
    <tableColumn id="1" xr3:uid="{3D3DFA51-E186-4721-9A1C-90FB73B5E85B}" name="Número" dataDxfId="39"/>
    <tableColumn id="2" xr3:uid="{67B6548C-BED8-4BB9-9317-75FA2256E62B}" name="Estación" dataDxfId="38"/>
    <tableColumn id="7" xr3:uid="{D2EE6AF4-3466-48FF-BD9B-7CDE633659C0}" name="IP" dataDxfId="37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36" dataDxfId="35">
  <autoFilter ref="A1:D39" xr:uid="{46DBF878-8714-468D-AB57-6D87EE4F651B}"/>
  <tableColumns count="4">
    <tableColumn id="8" xr3:uid="{BBF50E85-1783-4ED1-84F5-81EDD6DA1892}" name="Linea" dataDxfId="34"/>
    <tableColumn id="1" xr3:uid="{B48485CC-962F-4CCD-AFCC-82C09CE5C77D}" name="Número" dataDxfId="33"/>
    <tableColumn id="2" xr3:uid="{27A38237-DA10-4BDC-A938-6BC51BEA68CB}" name="Estación" dataDxfId="32"/>
    <tableColumn id="7" xr3:uid="{EBA69F51-DD1A-4A70-8893-862371B4FF13}" name="IP" dataDxfId="31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30" dataDxfId="29">
  <autoFilter ref="A1:D5" xr:uid="{7E1605E0-D03C-40FF-BBFC-FB915F6C469C}"/>
  <tableColumns count="4">
    <tableColumn id="8" xr3:uid="{9A36B41A-6E03-4B21-B7B0-6A5C459B644F}" name="Linea" dataDxfId="28"/>
    <tableColumn id="1" xr3:uid="{8CBB99D6-461E-4BE3-AA4A-EB145333D9D2}" name="Número" dataDxfId="27"/>
    <tableColumn id="2" xr3:uid="{174E264C-8ABD-465C-8152-9D19DDCC326E}" name="Estación" dataDxfId="26"/>
    <tableColumn id="7" xr3:uid="{CBC3A8BC-91E6-41BC-B97F-D530DF4957E7}" name="IP" dataDxfId="25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4" dataDxfId="23">
  <autoFilter ref="A1:D52" xr:uid="{9D228135-7642-4AF6-AD66-2A339006015A}"/>
  <tableColumns count="4">
    <tableColumn id="9" xr3:uid="{FB80E68C-DF8C-4759-A957-FD20C9264F0B}" name="Linea" dataDxfId="22"/>
    <tableColumn id="1" xr3:uid="{52DE81E1-0AAA-4F49-B099-BDE1805560D2}" name="Número" dataDxfId="21"/>
    <tableColumn id="2" xr3:uid="{5E85BAAC-56F3-4F0B-9A6A-062BB9D48B0E}" name="Estación" dataDxfId="20"/>
    <tableColumn id="8" xr3:uid="{6FD41838-D5C8-4364-8261-D02ADA8D4543}" name="IP" dataDxfId="19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8" dataDxfId="17">
  <autoFilter ref="A1:D38" xr:uid="{612B74E8-FE54-4279-ADFA-0D90846798F3}"/>
  <tableColumns count="4">
    <tableColumn id="9" xr3:uid="{739C3434-DB76-4DB4-9C66-01B57541D7F3}" name="Linea" dataDxfId="16"/>
    <tableColumn id="1" xr3:uid="{03CF7848-F3FA-4585-9E3D-F24CD75A8782}" name="Número" dataDxfId="15"/>
    <tableColumn id="2" xr3:uid="{1D049ADE-6CB8-43ED-98A5-871DA65206CF}" name="Estación" dataDxfId="14"/>
    <tableColumn id="8" xr3:uid="{2C656A71-65BD-4E6F-8223-92C6EB765F98}" name="IP" dataDxfId="13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12" dataDxfId="11">
  <autoFilter ref="A1:D28" xr:uid="{51CFA3F2-B891-441F-8DD2-7A459E81D952}"/>
  <tableColumns count="4">
    <tableColumn id="9" xr3:uid="{B9D78AF5-D4ED-47F3-8BA7-772CAF1BEB8E}" name="Linea " dataDxfId="10"/>
    <tableColumn id="1" xr3:uid="{721F9B02-8324-4E75-9218-2268A76394A8}" name="Número" dataDxfId="9"/>
    <tableColumn id="2" xr3:uid="{CBAD77E0-72E2-47D0-8749-7A587F6D4291}" name="Estación" dataDxfId="8"/>
    <tableColumn id="8" xr3:uid="{9EDF1B7A-A70F-4962-805A-8FAF35295DFE}" name="IP" dataDxfId="7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zoomScaleNormal="100" workbookViewId="0">
      <selection activeCell="F1" sqref="F1:G1048576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0" hidden="1" customWidth="1"/>
    <col min="7" max="7" width="11.1796875" hidden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4" t="s">
        <v>243</v>
      </c>
      <c r="G1" s="24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5" t="str">
        <f t="array" ref="F2">RIGHT(D2,10)</f>
        <v>10.1.1.100</v>
      </c>
      <c r="G2" s="25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5" t="str">
        <f t="array" ref="F3">RIGHT(D3,10)</f>
        <v>10.1.2.100</v>
      </c>
      <c r="G3" s="25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5" t="str">
        <f t="array" ref="F4">RIGHT(D4,10)</f>
        <v>10.1.3.100</v>
      </c>
      <c r="G4" s="25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5" t="str">
        <f t="array" ref="F5">RIGHT(D5,10)</f>
        <v>10.1.4.100</v>
      </c>
      <c r="G5" s="25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5" t="str">
        <f t="array" ref="F6">RIGHT(D6,10)</f>
        <v>10.1.5.100</v>
      </c>
      <c r="G6" s="25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5" t="str">
        <f t="array" ref="F7">RIGHT(D7,10)</f>
        <v>10.1.6.100</v>
      </c>
      <c r="G7" s="25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5" t="str">
        <f t="array" ref="F8">RIGHT(D8,10)</f>
        <v>10.1.7.100</v>
      </c>
      <c r="G8" s="25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5" t="str">
        <f t="array" ref="F9">RIGHT(D9,10)</f>
        <v>10.1.8.100</v>
      </c>
      <c r="G9" s="25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5" t="str">
        <f t="array" ref="F10">RIGHT(D10,10)</f>
        <v>10.1.9.100</v>
      </c>
      <c r="G10" s="25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5" t="str">
        <f t="array" ref="F11">RIGHT(D11,10)</f>
        <v>0.1.10.100</v>
      </c>
      <c r="G11" s="25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5" t="str">
        <f t="array" ref="F12">RIGHT(D12,10)</f>
        <v>0.1.11.100</v>
      </c>
      <c r="G12" s="25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5" t="str">
        <f t="array" ref="F13">RIGHT(D13,10)</f>
        <v>0.1.12.100</v>
      </c>
      <c r="G13" s="25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5" t="str">
        <f t="array" ref="F14">RIGHT(D14,10)</f>
        <v>0.1.13.100</v>
      </c>
      <c r="G14" s="25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5" t="str">
        <f t="array" ref="F15">RIGHT(D15,10)</f>
        <v>0.1.14.100</v>
      </c>
      <c r="G15" s="25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5" t="str">
        <f t="array" ref="F16">RIGHT(D16,10)</f>
        <v>0.1.15.100</v>
      </c>
      <c r="G16" s="25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5" t="str">
        <f t="array" ref="F17">RIGHT(D17,10)</f>
        <v>0.1.16.100</v>
      </c>
      <c r="G17" s="25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5" t="str">
        <f t="array" ref="F18">RIGHT(D18,10)</f>
        <v>0.1.17.100</v>
      </c>
      <c r="G18" s="25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5" t="str">
        <f t="array" ref="F19">RIGHT(D19,10)</f>
        <v>0.1.18.100</v>
      </c>
      <c r="G19" s="25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5" t="str">
        <f t="array" ref="F20">RIGHT(D20,10)</f>
        <v>0.1.19.100</v>
      </c>
      <c r="G20" s="25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5" t="str">
        <f t="array" ref="F21">RIGHT(D21,10)</f>
        <v>0.1.20.100</v>
      </c>
      <c r="G21" s="25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5" t="str">
        <f t="array" ref="F22">RIGHT(D22,10)</f>
        <v>0.1.21.100</v>
      </c>
      <c r="G22" s="25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5" t="str">
        <f t="array" ref="F23">RIGHT(D23,10)</f>
        <v>0.1.22.100</v>
      </c>
      <c r="G23" s="25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5" t="str">
        <f t="array" ref="F24">RIGHT(D24,10)</f>
        <v>0.1.23.100</v>
      </c>
      <c r="G24" s="25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5" t="str">
        <f t="array" ref="F25">RIGHT(D25,10)</f>
        <v>0.1.24.100</v>
      </c>
      <c r="G25" s="25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5" t="str">
        <f t="array" ref="F26">RIGHT(D26,10)</f>
        <v>0.1.25.100</v>
      </c>
      <c r="G26" s="25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5" t="str">
        <f t="array" ref="F27">RIGHT(D27,10)</f>
        <v>0.1.26.100</v>
      </c>
      <c r="G27" s="25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5" t="str">
        <f t="array" ref="F28">RIGHT(D28,10)</f>
        <v>0.1.27.100</v>
      </c>
      <c r="G28" s="25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5" t="str">
        <f t="array" ref="F29">RIGHT(D29,10)</f>
        <v>0.1.28.100</v>
      </c>
      <c r="G29" s="25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5" t="str">
        <f t="array" ref="F30">RIGHT(D30,10)</f>
        <v>0.1.29.100</v>
      </c>
      <c r="G30" s="25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5" t="str">
        <f t="array" ref="F31">RIGHT(D31,10)</f>
        <v>0.1.30.100</v>
      </c>
      <c r="G31" s="25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5" t="str">
        <f t="array" ref="F32">RIGHT(D32,10)</f>
        <v>0.1.31.100</v>
      </c>
      <c r="G32" s="25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5" t="str">
        <f t="array" ref="F33">RIGHT(D33,10)</f>
        <v>0.1.32.100</v>
      </c>
      <c r="G33" s="25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5" t="str">
        <f t="array" ref="F34">RIGHT(D34,10)</f>
        <v>0.1.33.100</v>
      </c>
      <c r="G34" s="25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5" t="str">
        <f t="array" ref="F35">RIGHT(D35,10)</f>
        <v>0.1.34.100</v>
      </c>
      <c r="G35" s="25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5" t="str">
        <f t="array" ref="F36">RIGHT(D36,10)</f>
        <v>0.1.35.100</v>
      </c>
      <c r="G36" s="25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5" t="str">
        <f t="array" ref="F37">RIGHT(D37,10)</f>
        <v>0.1.36.100</v>
      </c>
      <c r="G37" s="25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5" t="str">
        <f t="array" ref="F38">RIGHT(D38,10)</f>
        <v>0.1.37.100</v>
      </c>
      <c r="G38" s="25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5" t="str">
        <f t="array" ref="F39">RIGHT(D39,10)</f>
        <v>0.1.38.100</v>
      </c>
      <c r="G39" s="25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5" t="str">
        <f t="array" ref="F40">RIGHT(D40,10)</f>
        <v>0.1.39.100</v>
      </c>
      <c r="G40" s="25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5" t="str">
        <f t="array" ref="F41">RIGHT(D41,10)</f>
        <v>0.1.40.100</v>
      </c>
      <c r="G41" s="25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5" t="str">
        <f t="array" ref="F42">RIGHT(D42,10)</f>
        <v>0.1.41.100</v>
      </c>
      <c r="G42" s="25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5" t="str">
        <f t="array" ref="F43">RIGHT(D43,10)</f>
        <v>0.1.42.100</v>
      </c>
      <c r="G43" s="25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5" t="str">
        <f t="array" ref="F44">RIGHT(D44,10)</f>
        <v>0.1.43.100</v>
      </c>
      <c r="G44" s="25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5" t="str">
        <f t="array" ref="F45">RIGHT(D45,10)</f>
        <v>0.1.44.100</v>
      </c>
      <c r="G45" s="25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5" t="str">
        <f t="array" ref="F46">RIGHT(D46,10)</f>
        <v>0.1.45.100</v>
      </c>
      <c r="G46" s="25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5" t="str">
        <f t="array" ref="F47">RIGHT(D47,10)</f>
        <v>0.1.46.100</v>
      </c>
      <c r="G47" s="25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5" t="str">
        <f t="array" ref="F48">RIGHT(D48,10)</f>
        <v>0.1.47.100</v>
      </c>
      <c r="G48" s="25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5" t="str">
        <f t="array" ref="F49">RIGHT(D49,10)</f>
        <v>0.1.48.100</v>
      </c>
      <c r="G49" s="25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4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F1" sqref="F1:G1048576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hidden="1" customWidth="1"/>
    <col min="7" max="7" width="10.453125" style="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1" sqref="F1:G1048576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hidden="1" customWidth="1"/>
    <col min="7" max="7" width="0" hidden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hidden="1" customWidth="1"/>
    <col min="7" max="7" width="10.453125" hidden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9"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12" workbookViewId="0">
      <selection activeCell="F3" sqref="F1:G1048576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7" width="0" hidden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60" zoomScaleNormal="60" workbookViewId="0">
      <selection activeCell="B6" sqref="B6:D6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9.1796875" style="20" customWidth="1"/>
    <col min="5" max="5" width="16.6328125" style="20" bestFit="1" customWidth="1"/>
    <col min="6" max="6" width="17.453125" style="2" bestFit="1" customWidth="1"/>
    <col min="7" max="7" width="20.81640625" bestFit="1" customWidth="1"/>
    <col min="9" max="9" width="14.453125" customWidth="1"/>
    <col min="10" max="10" width="11.1796875" style="30" hidden="1" customWidth="1"/>
    <col min="11" max="11" width="13.26953125" style="30" hidden="1" customWidth="1"/>
    <col min="12" max="12" width="14.1796875" style="30" hidden="1" customWidth="1"/>
    <col min="13" max="13" width="16.54296875" style="30" hidden="1" customWidth="1"/>
  </cols>
  <sheetData>
    <row r="1" spans="2:13" x14ac:dyDescent="0.35">
      <c r="J1" s="26" t="s">
        <v>245</v>
      </c>
      <c r="K1" s="26" t="s">
        <v>246</v>
      </c>
      <c r="L1" s="27" t="s">
        <v>247</v>
      </c>
      <c r="M1" s="28" t="s">
        <v>248</v>
      </c>
    </row>
    <row r="2" spans="2:13" x14ac:dyDescent="0.35">
      <c r="J2" s="29" t="s">
        <v>234</v>
      </c>
      <c r="K2" s="29" t="str">
        <f t="array" ref="K2">IF($B$6="Linea_1",'L1'!G2:G49,IF($B$6="Linea_2",'L2'!G2:G38,IF($B$6="Linea_3",'L3'!G2:G39,IF($B$6="Linea_4",'L4'!G2:G5,IF($B$6="Linea_5",'L5'!G2:G52,IF($B$6="Linea_6",'L6'!G2:G38,IF($B$6="Linea_7",'L7'!G2:G28)))))))</f>
        <v>10.4.10.100</v>
      </c>
      <c r="L2" s="27" t="s">
        <v>241</v>
      </c>
      <c r="M2" s="28" t="s">
        <v>249</v>
      </c>
    </row>
    <row r="3" spans="2:13" x14ac:dyDescent="0.35">
      <c r="J3" s="29" t="s">
        <v>235</v>
      </c>
      <c r="K3" s="29" t="str">
        <f t="array" ref="K3">IF($B$6="Linea_1",'L1'!G3:G50,IF($B$6="Linea_2",'L2'!G3:G39,IF($B$6="Linea_3",'L3'!G3:G40,IF($B$6="Linea_4",'L4'!G3:G6,IF($B$6="Linea_5",'L5'!G3:G53,IF($B$6="Linea_6",'L6'!G3:G39,IF($B$6="Linea_7",'L7'!G3:G29)))))))</f>
        <v>10.4.30.100</v>
      </c>
      <c r="M3" s="31"/>
    </row>
    <row r="4" spans="2:13" x14ac:dyDescent="0.35">
      <c r="C4" t="s">
        <v>233</v>
      </c>
      <c r="J4" s="29" t="s">
        <v>236</v>
      </c>
      <c r="K4" s="29" t="str">
        <f t="array" ref="K4">IF($B$6="Linea_1",'L1'!G4:G51,IF($B$6="Linea_2",'L2'!G4:G40,IF($B$6="Linea_3",'L3'!G4:G41,IF($B$6="Linea_4",'L4'!G4:G7,IF($B$6="Linea_5",'L5'!G4:G54,IF($B$6="Linea_6",'L6'!G4:G40,IF($B$6="Linea_7",'L7'!G4:G30)))))))</f>
        <v>10.4.40.100</v>
      </c>
    </row>
    <row r="5" spans="2:13" x14ac:dyDescent="0.35">
      <c r="B5" s="38" t="s">
        <v>242</v>
      </c>
      <c r="C5" s="38"/>
      <c r="D5" s="38"/>
      <c r="E5" s="36"/>
      <c r="J5" s="29" t="s">
        <v>237</v>
      </c>
      <c r="K5" s="29" t="str">
        <f t="array" ref="K5">IF($B$6="Linea_1",'L1'!G5:G52,IF($B$6="Linea_2",'L2'!G5:G41,IF($B$6="Linea_3",'L3'!G5:G42,IF($B$6="Linea_4",'L4'!G5:G8,IF($B$6="Linea_5",'L5'!G5:G55,IF($B$6="Linea_6",'L6'!G5:G41,IF($B$6="Linea_7",'L7'!G5:G31)))))))</f>
        <v>10.4.60.100</v>
      </c>
    </row>
    <row r="6" spans="2:13" x14ac:dyDescent="0.35">
      <c r="B6" s="37" t="s">
        <v>237</v>
      </c>
      <c r="C6" s="37"/>
      <c r="D6" s="37"/>
      <c r="E6"/>
      <c r="J6" s="29" t="s">
        <v>238</v>
      </c>
      <c r="K6" s="29">
        <f t="array" ref="K6">IF($B$6="Linea_1",'L1'!G6:G53,IF($B$6="Linea_2",'L2'!G6:G42,IF($B$6="Linea_3",'L3'!G6:G43,IF($B$6="Linea_4",'L4'!G6:G9,IF($B$6="Linea_5",'L5'!G6:G56,IF($B$6="Linea_6",'L6'!G6:G42,IF($B$6="Linea_7",'L7'!G6:G32)))))))</f>
        <v>0</v>
      </c>
    </row>
    <row r="7" spans="2:13" x14ac:dyDescent="0.35">
      <c r="J7" s="29" t="s">
        <v>239</v>
      </c>
      <c r="K7" s="29">
        <f t="array" ref="K7">IF($B$6="Linea_1",'L1'!G7:G54,IF($B$6="Linea_2",'L2'!G7:G43,IF($B$6="Linea_3",'L3'!G7:G44,IF($B$6="Linea_4",'L4'!G7:G10,IF($B$6="Linea_5",'L5'!G7:G57,IF($B$6="Linea_6",'L6'!G7:G43,IF($B$6="Linea_7",'L7'!G7:G33)))))))</f>
        <v>0</v>
      </c>
    </row>
    <row r="8" spans="2:13" x14ac:dyDescent="0.35">
      <c r="B8" s="35" t="str" cm="1">
        <f t="array" aca="1" ref="B8:E12" ca="1">INDIRECT(B6)</f>
        <v>Linea</v>
      </c>
      <c r="C8" s="35" t="str">
        <f ca="1"/>
        <v>Número</v>
      </c>
      <c r="D8" s="35" t="str">
        <f ca="1"/>
        <v>Estación</v>
      </c>
      <c r="E8" s="35" t="str">
        <f ca="1"/>
        <v>IP</v>
      </c>
      <c r="F8" s="34" t="s">
        <v>251</v>
      </c>
      <c r="G8" s="32" t="s">
        <v>250</v>
      </c>
      <c r="J8" s="29" t="s">
        <v>240</v>
      </c>
      <c r="K8" s="29">
        <f t="array" ref="K8">IF($B$6="Linea_1",'L1'!G8:G55,IF($B$6="Linea_2",'L2'!G8:G44,IF($B$6="Linea_3",'L3'!G8:G45,IF($B$6="Linea_4",'L4'!G8:G11,IF($B$6="Linea_5",'L5'!G8:G58,IF($B$6="Linea_6",'L6'!G8:G44,IF($B$6="Linea_7",'L7'!G8:G34)))))))</f>
        <v>0</v>
      </c>
    </row>
    <row r="9" spans="2:13" x14ac:dyDescent="0.35">
      <c r="B9" s="22">
        <f ca="1"/>
        <v>4</v>
      </c>
      <c r="C9" s="22">
        <f ca="1"/>
        <v>10</v>
      </c>
      <c r="D9" s="23" t="str">
        <f ca="1"/>
        <v>Buenavista 4</v>
      </c>
      <c r="E9" s="23" t="str">
        <f ca="1"/>
        <v>http://10.4.10.100</v>
      </c>
      <c r="F9" s="39" t="s">
        <v>253</v>
      </c>
      <c r="G9" s="33"/>
      <c r="K9" s="29">
        <f t="array" ref="K9">IF($B$6="Linea_1",'L1'!G9:G56,IF($B$6="Linea_2",'L2'!G9:G45,IF($B$6="Linea_3",'L3'!G9:G46,IF($B$6="Linea_4",'L4'!G9:G12,IF($B$6="Linea_5",'L5'!G9:G59,IF($B$6="Linea_6",'L6'!G9:G45,IF($B$6="Linea_7",'L7'!G9:G35)))))))</f>
        <v>0</v>
      </c>
    </row>
    <row r="10" spans="2:13" x14ac:dyDescent="0.35">
      <c r="B10" s="22">
        <f ca="1"/>
        <v>4</v>
      </c>
      <c r="C10" s="22">
        <f ca="1"/>
        <v>30</v>
      </c>
      <c r="D10" s="23" t="str">
        <f ca="1"/>
        <v>San Lázaro</v>
      </c>
      <c r="E10" s="23" t="str">
        <f ca="1"/>
        <v>http://10.4.30.100</v>
      </c>
      <c r="F10" s="40" t="s">
        <v>252</v>
      </c>
      <c r="G10" s="21"/>
      <c r="K10" s="29">
        <f t="array" ref="K10">IF($B$6="Linea_1",'L1'!G10:G57,IF($B$6="Linea_2",'L2'!G10:G46,IF($B$6="Linea_3",'L3'!G10:G47,IF($B$6="Linea_4",'L4'!G10:G13,IF($B$6="Linea_5",'L5'!G10:G60,IF($B$6="Linea_6",'L6'!G10:G46,IF($B$6="Linea_7",'L7'!G10:G36)))))))</f>
        <v>0</v>
      </c>
    </row>
    <row r="11" spans="2:13" x14ac:dyDescent="0.35">
      <c r="B11" s="22">
        <f ca="1"/>
        <v>4</v>
      </c>
      <c r="C11" s="22">
        <f ca="1"/>
        <v>40</v>
      </c>
      <c r="D11" s="23" t="str">
        <f ca="1"/>
        <v>Aeropuerto</v>
      </c>
      <c r="E11" s="23" t="str">
        <f ca="1"/>
        <v>http://10.4.40.100</v>
      </c>
      <c r="F11" s="40" t="s">
        <v>253</v>
      </c>
      <c r="G11" s="21"/>
      <c r="K11" s="29">
        <f t="array" ref="K11">IF($B$6="Linea_1",'L1'!G11:G58,IF($B$6="Linea_2",'L2'!G11:G47,IF($B$6="Linea_3",'L3'!G11:G48,IF($B$6="Linea_4",'L4'!G11:G14,IF($B$6="Linea_5",'L5'!G11:G61,IF($B$6="Linea_6",'L6'!G11:G47,IF($B$6="Linea_7",'L7'!G11:G37)))))))</f>
        <v>0</v>
      </c>
    </row>
    <row r="12" spans="2:13" x14ac:dyDescent="0.35">
      <c r="B12" s="22">
        <f ca="1"/>
        <v>4</v>
      </c>
      <c r="C12" s="22">
        <f ca="1"/>
        <v>60</v>
      </c>
      <c r="D12" s="23" t="str">
        <f ca="1"/>
        <v>Pantitlán</v>
      </c>
      <c r="E12" s="23" t="str">
        <f ca="1"/>
        <v>http://10.4.60.100</v>
      </c>
      <c r="F12" s="40" t="s">
        <v>252</v>
      </c>
      <c r="G12" s="21"/>
      <c r="K12" s="29">
        <f t="array" ref="K12">IF($B$6="Linea_1",'L1'!G12:G59,IF($B$6="Linea_2",'L2'!G12:G48,IF($B$6="Linea_3",'L3'!G12:G49,IF($B$6="Linea_4",'L4'!G12:G15,IF($B$6="Linea_5",'L5'!G12:G62,IF($B$6="Linea_6",'L6'!G12:G48,IF($B$6="Linea_7",'L7'!G12:G38)))))))</f>
        <v>0</v>
      </c>
    </row>
    <row r="13" spans="2:13" x14ac:dyDescent="0.35">
      <c r="B13" s="22"/>
      <c r="C13" s="22"/>
      <c r="D13" s="23"/>
      <c r="E13" s="23"/>
      <c r="F13" s="40" t="s">
        <v>233</v>
      </c>
      <c r="G13" s="21"/>
      <c r="K13" s="29">
        <f t="array" ref="K13">IF($B$6="Linea_1",'L1'!G13:G60,IF($B$6="Linea_2",'L2'!G13:G49,IF($B$6="Linea_3",'L3'!G13:G50,IF($B$6="Linea_4",'L4'!G13:G16,IF($B$6="Linea_5",'L5'!G13:G63,IF($B$6="Linea_6",'L6'!G13:G49,IF($B$6="Linea_7",'L7'!G13:G39)))))))</f>
        <v>0</v>
      </c>
    </row>
    <row r="14" spans="2:13" x14ac:dyDescent="0.35">
      <c r="B14" s="22"/>
      <c r="C14" s="22"/>
      <c r="D14" s="23"/>
      <c r="E14" s="23"/>
      <c r="F14" s="40" t="s">
        <v>233</v>
      </c>
      <c r="G14" s="21"/>
      <c r="K14" s="29">
        <f t="array" ref="K14">IF($B$6="Linea_1",'L1'!G14:G61,IF($B$6="Linea_2",'L2'!G14:G50,IF($B$6="Linea_3",'L3'!G14:G51,IF($B$6="Linea_4",'L4'!G14:G17,IF($B$6="Linea_5",'L5'!G14:G64,IF($B$6="Linea_6",'L6'!G14:G50,IF($B$6="Linea_7",'L7'!G14:G40)))))))</f>
        <v>0</v>
      </c>
    </row>
    <row r="15" spans="2:13" x14ac:dyDescent="0.35">
      <c r="B15" s="22"/>
      <c r="C15" s="22"/>
      <c r="D15" s="23"/>
      <c r="E15" s="23"/>
      <c r="F15" s="40" t="s">
        <v>233</v>
      </c>
      <c r="G15" s="21"/>
      <c r="K15" s="29">
        <f t="array" ref="K15">IF($B$6="Linea_1",'L1'!G15:G62,IF($B$6="Linea_2",'L2'!G15:G51,IF($B$6="Linea_3",'L3'!G15:G52,IF($B$6="Linea_4",'L4'!G15:G18,IF($B$6="Linea_5",'L5'!G15:G65,IF($B$6="Linea_6",'L6'!G15:G51,IF($B$6="Linea_7",'L7'!G15:G41)))))))</f>
        <v>0</v>
      </c>
    </row>
    <row r="16" spans="2:13" x14ac:dyDescent="0.35">
      <c r="B16" s="22"/>
      <c r="C16" s="22"/>
      <c r="D16" s="23"/>
      <c r="E16" s="23"/>
      <c r="F16" s="40" t="s">
        <v>233</v>
      </c>
      <c r="G16" s="21"/>
      <c r="K16" s="29">
        <f t="array" ref="K16">IF($B$6="Linea_1",'L1'!G16:G63,IF($B$6="Linea_2",'L2'!G16:G52,IF($B$6="Linea_3",'L3'!G16:G53,IF($B$6="Linea_4",'L4'!G16:G19,IF($B$6="Linea_5",'L5'!G16:G66,IF($B$6="Linea_6",'L6'!G16:G52,IF($B$6="Linea_7",'L7'!G16:G42)))))))</f>
        <v>0</v>
      </c>
    </row>
    <row r="17" spans="2:11" x14ac:dyDescent="0.35">
      <c r="B17" s="22"/>
      <c r="C17" s="22"/>
      <c r="D17" s="23"/>
      <c r="E17" s="23"/>
      <c r="F17" s="40" t="s">
        <v>233</v>
      </c>
      <c r="G17" s="21"/>
      <c r="K17" s="29">
        <f t="array" ref="K17">IF($B$6="Linea_1",'L1'!G17:G64,IF($B$6="Linea_2",'L2'!G17:G53,IF($B$6="Linea_3",'L3'!G17:G54,IF($B$6="Linea_4",'L4'!G17:G20,IF($B$6="Linea_5",'L5'!G17:G67,IF($B$6="Linea_6",'L6'!G17:G53,IF($B$6="Linea_7",'L7'!G17:G43)))))))</f>
        <v>0</v>
      </c>
    </row>
    <row r="18" spans="2:11" x14ac:dyDescent="0.35">
      <c r="B18" s="22"/>
      <c r="C18" s="22"/>
      <c r="D18" s="23"/>
      <c r="E18" s="23"/>
      <c r="F18" s="40" t="s">
        <v>233</v>
      </c>
      <c r="G18" s="21"/>
      <c r="K18" s="29">
        <f t="array" ref="K18">IF($B$6="Linea_1",'L1'!G18:G65,IF($B$6="Linea_2",'L2'!G18:G54,IF($B$6="Linea_3",'L3'!G18:G55,IF($B$6="Linea_4",'L4'!G18:G21,IF($B$6="Linea_5",'L5'!G18:G68,IF($B$6="Linea_6",'L6'!G18:G54,IF($B$6="Linea_7",'L7'!G18:G44)))))))</f>
        <v>0</v>
      </c>
    </row>
    <row r="19" spans="2:11" x14ac:dyDescent="0.35">
      <c r="B19" s="22"/>
      <c r="C19" s="22"/>
      <c r="D19" s="23"/>
      <c r="E19" s="23"/>
      <c r="F19" s="40" t="s">
        <v>233</v>
      </c>
      <c r="G19" s="21"/>
      <c r="K19" s="29">
        <f t="array" ref="K19">IF($B$6="Linea_1",'L1'!G19:G66,IF($B$6="Linea_2",'L2'!G19:G55,IF($B$6="Linea_3",'L3'!G19:G56,IF($B$6="Linea_4",'L4'!G19:G22,IF($B$6="Linea_5",'L5'!G19:G69,IF($B$6="Linea_6",'L6'!G19:G55,IF($B$6="Linea_7",'L7'!G19:G45)))))))</f>
        <v>0</v>
      </c>
    </row>
    <row r="20" spans="2:11" x14ac:dyDescent="0.35">
      <c r="B20" s="22"/>
      <c r="C20" s="22"/>
      <c r="D20" s="23"/>
      <c r="E20" s="23"/>
      <c r="F20" s="40" t="s">
        <v>233</v>
      </c>
      <c r="G20" s="21"/>
      <c r="K20" s="29">
        <f t="array" ref="K20">IF($B$6="Linea_1",'L1'!G20:G67,IF($B$6="Linea_2",'L2'!G20:G56,IF($B$6="Linea_3",'L3'!G20:G57,IF($B$6="Linea_4",'L4'!G20:G23,IF($B$6="Linea_5",'L5'!G20:G70,IF($B$6="Linea_6",'L6'!G20:G56,IF($B$6="Linea_7",'L7'!G20:G46)))))))</f>
        <v>0</v>
      </c>
    </row>
    <row r="21" spans="2:11" x14ac:dyDescent="0.35">
      <c r="B21" s="22"/>
      <c r="C21" s="22"/>
      <c r="D21" s="23"/>
      <c r="E21" s="23"/>
      <c r="F21" s="40" t="s">
        <v>233</v>
      </c>
      <c r="G21" s="21"/>
      <c r="K21" s="29">
        <f t="array" ref="K21">IF($B$6="Linea_1",'L1'!G21:G68,IF($B$6="Linea_2",'L2'!G21:G57,IF($B$6="Linea_3",'L3'!G21:G58,IF($B$6="Linea_4",'L4'!G21:G24,IF($B$6="Linea_5",'L5'!G21:G71,IF($B$6="Linea_6",'L6'!G21:G57,IF($B$6="Linea_7",'L7'!G21:G47)))))))</f>
        <v>0</v>
      </c>
    </row>
    <row r="22" spans="2:11" x14ac:dyDescent="0.35">
      <c r="B22" s="22"/>
      <c r="C22" s="22"/>
      <c r="D22" s="23"/>
      <c r="E22" s="23"/>
      <c r="F22" s="40" t="s">
        <v>233</v>
      </c>
      <c r="G22" s="21"/>
      <c r="K22" s="29">
        <f t="array" ref="K22">IF($B$6="Linea_1",'L1'!G22:G69,IF($B$6="Linea_2",'L2'!G22:G58,IF($B$6="Linea_3",'L3'!G22:G59,IF($B$6="Linea_4",'L4'!G22:G25,IF($B$6="Linea_5",'L5'!G22:G72,IF($B$6="Linea_6",'L6'!G22:G58,IF($B$6="Linea_7",'L7'!G22:G48)))))))</f>
        <v>0</v>
      </c>
    </row>
    <row r="23" spans="2:11" x14ac:dyDescent="0.35">
      <c r="B23" s="22"/>
      <c r="C23" s="22"/>
      <c r="D23" s="23"/>
      <c r="E23" s="23"/>
      <c r="F23" s="40" t="s">
        <v>233</v>
      </c>
      <c r="G23" s="21"/>
      <c r="K23" s="29">
        <f t="array" ref="K23">IF($B$6="Linea_1",'L1'!G23:G70,IF($B$6="Linea_2",'L2'!G23:G59,IF($B$6="Linea_3",'L3'!G23:G60,IF($B$6="Linea_4",'L4'!G23:G26,IF($B$6="Linea_5",'L5'!G23:G73,IF($B$6="Linea_6",'L6'!G23:G59,IF($B$6="Linea_7",'L7'!G23:G49)))))))</f>
        <v>0</v>
      </c>
    </row>
    <row r="24" spans="2:11" x14ac:dyDescent="0.35">
      <c r="B24" s="22"/>
      <c r="C24" s="22"/>
      <c r="D24" s="23"/>
      <c r="E24" s="23"/>
      <c r="F24" s="40" t="s">
        <v>233</v>
      </c>
      <c r="G24" s="21"/>
      <c r="K24" s="29">
        <f t="array" ref="K24">IF($B$6="Linea_1",'L1'!G24:G71,IF($B$6="Linea_2",'L2'!G24:G60,IF($B$6="Linea_3",'L3'!G24:G61,IF($B$6="Linea_4",'L4'!G24:G27,IF($B$6="Linea_5",'L5'!G24:G74,IF($B$6="Linea_6",'L6'!G24:G60,IF($B$6="Linea_7",'L7'!G24:G50)))))))</f>
        <v>0</v>
      </c>
    </row>
    <row r="25" spans="2:11" x14ac:dyDescent="0.35">
      <c r="B25" s="22"/>
      <c r="C25" s="22"/>
      <c r="D25" s="23"/>
      <c r="E25" s="23"/>
      <c r="F25" s="40" t="s">
        <v>233</v>
      </c>
      <c r="G25" s="21"/>
      <c r="K25" s="29">
        <f t="array" ref="K25">IF($B$6="Linea_1",'L1'!G25:G72,IF($B$6="Linea_2",'L2'!G25:G61,IF($B$6="Linea_3",'L3'!G25:G62,IF($B$6="Linea_4",'L4'!G25:G28,IF($B$6="Linea_5",'L5'!G25:G75,IF($B$6="Linea_6",'L6'!G25:G61,IF($B$6="Linea_7",'L7'!G25:G51)))))))</f>
        <v>0</v>
      </c>
    </row>
    <row r="26" spans="2:11" x14ac:dyDescent="0.35">
      <c r="B26" s="22"/>
      <c r="C26" s="22"/>
      <c r="D26" s="23"/>
      <c r="E26" s="23"/>
      <c r="F26" s="40" t="s">
        <v>233</v>
      </c>
      <c r="G26" s="21"/>
      <c r="K26" s="29">
        <f t="array" ref="K26">IF($B$6="Linea_1",'L1'!G26:G73,IF($B$6="Linea_2",'L2'!G26:G62,IF($B$6="Linea_3",'L3'!G26:G63,IF($B$6="Linea_4",'L4'!G26:G29,IF($B$6="Linea_5",'L5'!G26:G76,IF($B$6="Linea_6",'L6'!G26:G62,IF($B$6="Linea_7",'L7'!G26:G52)))))))</f>
        <v>0</v>
      </c>
    </row>
    <row r="27" spans="2:11" x14ac:dyDescent="0.35">
      <c r="B27" s="22"/>
      <c r="C27" s="22"/>
      <c r="D27" s="23"/>
      <c r="E27" s="23"/>
      <c r="F27" s="40" t="s">
        <v>233</v>
      </c>
      <c r="G27" s="21"/>
      <c r="K27" s="29">
        <f t="array" ref="K27">IF($B$6="Linea_1",'L1'!G27:G74,IF($B$6="Linea_2",'L2'!G27:G63,IF($B$6="Linea_3",'L3'!G27:G64,IF($B$6="Linea_4",'L4'!G27:G30,IF($B$6="Linea_5",'L5'!G27:G77,IF($B$6="Linea_6",'L6'!G27:G63,IF($B$6="Linea_7",'L7'!G27:G53)))))))</f>
        <v>0</v>
      </c>
    </row>
    <row r="28" spans="2:11" x14ac:dyDescent="0.35">
      <c r="B28" s="22"/>
      <c r="C28" s="22"/>
      <c r="D28" s="23"/>
      <c r="E28" s="23"/>
      <c r="F28" s="40" t="s">
        <v>233</v>
      </c>
      <c r="G28" s="21"/>
      <c r="K28" s="29">
        <f t="array" ref="K28">IF($B$6="Linea_1",'L1'!G28:G75,IF($B$6="Linea_2",'L2'!G28:G64,IF($B$6="Linea_3",'L3'!G28:G65,IF($B$6="Linea_4",'L4'!G28:G31,IF($B$6="Linea_5",'L5'!G28:G78,IF($B$6="Linea_6",'L6'!G28:G64,IF($B$6="Linea_7",'L7'!G28:G54)))))))</f>
        <v>0</v>
      </c>
    </row>
    <row r="29" spans="2:11" x14ac:dyDescent="0.35">
      <c r="B29" s="22"/>
      <c r="C29" s="22"/>
      <c r="D29" s="23"/>
      <c r="E29" s="23"/>
      <c r="F29" s="40" t="s">
        <v>233</v>
      </c>
      <c r="G29" s="21"/>
      <c r="K29" s="29">
        <f t="array" ref="K29">IF($B$6="Linea_1",'L1'!G29:G76,IF($B$6="Linea_2",'L2'!G29:G65,IF($B$6="Linea_3",'L3'!G29:G66,IF($B$6="Linea_4",'L4'!G29:G32,IF($B$6="Linea_5",'L5'!G29:G79,IF($B$6="Linea_6",'L6'!G29:G65,IF($B$6="Linea_7",'L7'!G29:G55)))))))</f>
        <v>0</v>
      </c>
    </row>
    <row r="30" spans="2:11" x14ac:dyDescent="0.35">
      <c r="B30" s="22"/>
      <c r="C30" s="22"/>
      <c r="D30" s="23"/>
      <c r="E30" s="23"/>
      <c r="F30" s="40" t="s">
        <v>233</v>
      </c>
      <c r="G30" s="21"/>
      <c r="K30" s="29">
        <f t="array" ref="K30">IF($B$6="Linea_1",'L1'!G30:G77,IF($B$6="Linea_2",'L2'!G30:G66,IF($B$6="Linea_3",'L3'!G30:G67,IF($B$6="Linea_4",'L4'!G30:G33,IF($B$6="Linea_5",'L5'!G30:G80,IF($B$6="Linea_6",'L6'!G30:G66,IF($B$6="Linea_7",'L7'!G30:G56)))))))</f>
        <v>0</v>
      </c>
    </row>
    <row r="31" spans="2:11" x14ac:dyDescent="0.35">
      <c r="B31" s="22"/>
      <c r="C31" s="22"/>
      <c r="D31" s="23"/>
      <c r="E31" s="23"/>
      <c r="F31" s="40" t="s">
        <v>233</v>
      </c>
      <c r="G31" s="21"/>
      <c r="K31" s="29">
        <f t="array" ref="K31">IF($B$6="Linea_1",'L1'!G31:G78,IF($B$6="Linea_2",'L2'!G31:G67,IF($B$6="Linea_3",'L3'!G31:G68,IF($B$6="Linea_4",'L4'!G31:G34,IF($B$6="Linea_5",'L5'!G31:G81,IF($B$6="Linea_6",'L6'!G31:G67,IF($B$6="Linea_7",'L7'!G31:G57)))))))</f>
        <v>0</v>
      </c>
    </row>
    <row r="32" spans="2:11" x14ac:dyDescent="0.35">
      <c r="B32" s="22"/>
      <c r="C32" s="22"/>
      <c r="D32" s="23"/>
      <c r="E32" s="23"/>
      <c r="F32" s="40" t="s">
        <v>233</v>
      </c>
      <c r="G32" s="21"/>
      <c r="K32" s="29">
        <f t="array" ref="K32">IF($B$6="Linea_1",'L1'!G32:G79,IF($B$6="Linea_2",'L2'!G32:G68,IF($B$6="Linea_3",'L3'!G32:G69,IF($B$6="Linea_4",'L4'!G32:G35,IF($B$6="Linea_5",'L5'!G32:G82,IF($B$6="Linea_6",'L6'!G32:G68,IF($B$6="Linea_7",'L7'!G32:G58)))))))</f>
        <v>0</v>
      </c>
    </row>
    <row r="33" spans="2:11" x14ac:dyDescent="0.35">
      <c r="B33" s="22"/>
      <c r="C33" s="22"/>
      <c r="D33" s="23"/>
      <c r="E33" s="23"/>
      <c r="F33" s="40" t="s">
        <v>233</v>
      </c>
      <c r="G33" s="21"/>
      <c r="K33" s="29">
        <f t="array" ref="K33">IF($B$6="Linea_1",'L1'!G33:G80,IF($B$6="Linea_2",'L2'!G33:G69,IF($B$6="Linea_3",'L3'!G33:G70,IF($B$6="Linea_4",'L4'!G33:G36,IF($B$6="Linea_5",'L5'!G33:G83,IF($B$6="Linea_6",'L6'!G33:G69,IF($B$6="Linea_7",'L7'!G33:G59)))))))</f>
        <v>0</v>
      </c>
    </row>
    <row r="34" spans="2:11" x14ac:dyDescent="0.35">
      <c r="B34" s="22"/>
      <c r="C34" s="22"/>
      <c r="D34" s="23"/>
      <c r="E34" s="23"/>
      <c r="F34" s="40" t="s">
        <v>233</v>
      </c>
      <c r="G34" s="21"/>
      <c r="K34" s="29">
        <f t="array" ref="K34">IF($B$6="Linea_1",'L1'!G34:G81,IF($B$6="Linea_2",'L2'!G34:G70,IF($B$6="Linea_3",'L3'!G34:G71,IF($B$6="Linea_4",'L4'!G34:G37,IF($B$6="Linea_5",'L5'!G34:G84,IF($B$6="Linea_6",'L6'!G34:G70,IF($B$6="Linea_7",'L7'!G34:G60)))))))</f>
        <v>0</v>
      </c>
    </row>
    <row r="35" spans="2:11" x14ac:dyDescent="0.35">
      <c r="B35" s="22"/>
      <c r="C35" s="22"/>
      <c r="D35" s="23"/>
      <c r="E35" s="23"/>
      <c r="F35" s="40" t="s">
        <v>233</v>
      </c>
      <c r="G35" s="21"/>
      <c r="K35" s="29">
        <f t="array" ref="K35">IF($B$6="Linea_1",'L1'!G35:G82,IF($B$6="Linea_2",'L2'!G35:G71,IF($B$6="Linea_3",'L3'!G35:G72,IF($B$6="Linea_4",'L4'!G35:G38,IF($B$6="Linea_5",'L5'!G35:G85,IF($B$6="Linea_6",'L6'!G35:G71,IF($B$6="Linea_7",'L7'!G35:G61)))))))</f>
        <v>0</v>
      </c>
    </row>
    <row r="36" spans="2:11" x14ac:dyDescent="0.35">
      <c r="B36" s="22"/>
      <c r="C36" s="22"/>
      <c r="D36" s="23"/>
      <c r="E36" s="23"/>
      <c r="F36" s="40" t="s">
        <v>233</v>
      </c>
      <c r="G36" s="21"/>
      <c r="K36" s="29">
        <f t="array" ref="K36">IF($B$6="Linea_1",'L1'!G36:G83,IF($B$6="Linea_2",'L2'!G36:G72,IF($B$6="Linea_3",'L3'!G36:G73,IF($B$6="Linea_4",'L4'!G36:G39,IF($B$6="Linea_5",'L5'!G36:G86,IF($B$6="Linea_6",'L6'!G36:G72,IF($B$6="Linea_7",'L7'!G36:G62)))))))</f>
        <v>0</v>
      </c>
    </row>
    <row r="37" spans="2:11" x14ac:dyDescent="0.35">
      <c r="B37" s="22"/>
      <c r="C37" s="22"/>
      <c r="D37" s="23"/>
      <c r="E37" s="23"/>
      <c r="F37" s="40" t="s">
        <v>233</v>
      </c>
      <c r="G37" s="21"/>
      <c r="K37" s="29">
        <f t="array" ref="K37">IF($B$6="Linea_1",'L1'!G37:G84,IF($B$6="Linea_2",'L2'!G37:G73,IF($B$6="Linea_3",'L3'!G37:G74,IF($B$6="Linea_4",'L4'!G37:G40,IF($B$6="Linea_5",'L5'!G37:G87,IF($B$6="Linea_6",'L6'!G37:G73,IF($B$6="Linea_7",'L7'!G37:G63)))))))</f>
        <v>0</v>
      </c>
    </row>
    <row r="38" spans="2:11" x14ac:dyDescent="0.35">
      <c r="B38" s="22"/>
      <c r="C38" s="22"/>
      <c r="D38" s="23"/>
      <c r="E38" s="23"/>
      <c r="F38" s="40" t="s">
        <v>233</v>
      </c>
      <c r="G38" s="21"/>
      <c r="K38" s="29">
        <f t="array" ref="K38">IF($B$6="Linea_1",'L1'!G38:G85,IF($B$6="Linea_2",'L2'!G38:G74,IF($B$6="Linea_3",'L3'!G38:G75,IF($B$6="Linea_4",'L4'!G38:G41,IF($B$6="Linea_5",'L5'!G38:G88,IF($B$6="Linea_6",'L6'!G38:G74,IF($B$6="Linea_7",'L7'!G38:G64)))))))</f>
        <v>0</v>
      </c>
    </row>
    <row r="39" spans="2:11" x14ac:dyDescent="0.35">
      <c r="B39" s="22"/>
      <c r="C39" s="22"/>
      <c r="D39" s="23"/>
      <c r="E39" s="23"/>
      <c r="F39" s="40" t="s">
        <v>233</v>
      </c>
      <c r="G39" s="21"/>
      <c r="K39" s="29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2"/>
      <c r="C40" s="22"/>
      <c r="D40" s="23"/>
      <c r="E40" s="23"/>
      <c r="F40" s="40" t="s">
        <v>233</v>
      </c>
      <c r="G40" s="21"/>
      <c r="K40" s="29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2"/>
      <c r="C41" s="22"/>
      <c r="D41" s="23"/>
      <c r="E41" s="23"/>
      <c r="F41" s="40" t="s">
        <v>233</v>
      </c>
      <c r="G41" s="21"/>
      <c r="K41" s="29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2"/>
      <c r="C42" s="22"/>
      <c r="D42" s="23"/>
      <c r="E42" s="23"/>
      <c r="F42" s="40" t="s">
        <v>233</v>
      </c>
      <c r="G42" s="21"/>
      <c r="K42" s="29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2"/>
      <c r="C43" s="22"/>
      <c r="D43" s="23"/>
      <c r="E43" s="23"/>
      <c r="F43" s="40" t="s">
        <v>233</v>
      </c>
      <c r="G43" s="21"/>
      <c r="K43" s="29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2"/>
      <c r="C44" s="22"/>
      <c r="D44" s="23"/>
      <c r="E44" s="23"/>
      <c r="F44" s="40" t="s">
        <v>233</v>
      </c>
      <c r="G44" s="21"/>
      <c r="K44" s="29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2"/>
      <c r="C45" s="22"/>
      <c r="D45" s="23"/>
      <c r="E45" s="23"/>
      <c r="F45" s="40" t="s">
        <v>233</v>
      </c>
      <c r="G45" s="21"/>
      <c r="K45" s="29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2"/>
      <c r="C46" s="22"/>
      <c r="D46" s="23"/>
      <c r="E46" s="23"/>
      <c r="F46" s="40" t="s">
        <v>233</v>
      </c>
      <c r="G46" s="21"/>
      <c r="K46" s="29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2"/>
      <c r="C47" s="22"/>
      <c r="D47" s="23"/>
      <c r="E47" s="23"/>
      <c r="F47" s="40" t="s">
        <v>233</v>
      </c>
      <c r="G47" s="21"/>
      <c r="K47" s="29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2"/>
      <c r="C48" s="22"/>
      <c r="D48" s="23"/>
      <c r="E48" s="23"/>
      <c r="F48" s="40" t="s">
        <v>233</v>
      </c>
      <c r="G48" s="21"/>
      <c r="K48" s="29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2"/>
      <c r="C49" s="22"/>
      <c r="D49" s="23"/>
      <c r="E49" s="23"/>
      <c r="F49" s="40" t="s">
        <v>233</v>
      </c>
      <c r="G49" s="21"/>
      <c r="K49" s="29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2"/>
      <c r="C50" s="22"/>
      <c r="D50" s="23"/>
      <c r="E50" s="23"/>
      <c r="F50" s="40" t="s">
        <v>233</v>
      </c>
      <c r="G50" s="21"/>
      <c r="K50" s="29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2"/>
      <c r="C51" s="22"/>
      <c r="D51" s="23"/>
      <c r="E51" s="23"/>
      <c r="F51" s="40" t="s">
        <v>233</v>
      </c>
      <c r="G51" s="21"/>
      <c r="K51" s="29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2"/>
      <c r="C52" s="22"/>
      <c r="D52" s="23"/>
      <c r="E52" s="23"/>
      <c r="F52" s="40" t="s">
        <v>233</v>
      </c>
      <c r="G52" s="21"/>
      <c r="K52" s="29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2"/>
      <c r="C53" s="22"/>
      <c r="D53" s="23"/>
      <c r="E53" s="23"/>
      <c r="F53" s="40" t="s">
        <v>233</v>
      </c>
      <c r="G53" s="21"/>
    </row>
    <row r="54" spans="2:11" x14ac:dyDescent="0.35">
      <c r="B54" s="22"/>
      <c r="C54" s="22"/>
      <c r="D54" s="23"/>
      <c r="E54" s="23"/>
      <c r="F54" s="40" t="s">
        <v>233</v>
      </c>
      <c r="G54" s="21"/>
    </row>
    <row r="55" spans="2:11" x14ac:dyDescent="0.35">
      <c r="B55" s="22"/>
      <c r="C55" s="22"/>
      <c r="D55" s="23"/>
      <c r="E55" s="23"/>
      <c r="F55" s="40" t="s">
        <v>233</v>
      </c>
      <c r="G55" s="21"/>
    </row>
    <row r="56" spans="2:11" x14ac:dyDescent="0.35">
      <c r="B56" s="22"/>
      <c r="C56" s="22"/>
      <c r="D56" s="23"/>
      <c r="E56" s="23"/>
      <c r="F56" s="40" t="s">
        <v>233</v>
      </c>
      <c r="G56" s="21"/>
    </row>
    <row r="57" spans="2:11" x14ac:dyDescent="0.35">
      <c r="B57" s="22"/>
      <c r="C57" s="22"/>
      <c r="D57" s="23"/>
      <c r="E57" s="23"/>
      <c r="F57" s="40" t="s">
        <v>233</v>
      </c>
      <c r="G57" s="21"/>
    </row>
    <row r="58" spans="2:11" x14ac:dyDescent="0.35">
      <c r="B58" s="22"/>
      <c r="C58" s="22"/>
      <c r="D58" s="23"/>
      <c r="E58" s="23"/>
      <c r="F58" s="40" t="s">
        <v>233</v>
      </c>
      <c r="G58" s="21"/>
    </row>
    <row r="59" spans="2:11" x14ac:dyDescent="0.35">
      <c r="B59" s="22"/>
      <c r="C59" s="22"/>
      <c r="D59" s="23"/>
      <c r="E59" s="23"/>
      <c r="F59" s="40" t="s">
        <v>233</v>
      </c>
      <c r="G59" s="21"/>
    </row>
  </sheetData>
  <mergeCells count="2">
    <mergeCell ref="B6:D6"/>
    <mergeCell ref="B5:D5"/>
  </mergeCells>
  <phoneticPr fontId="2" type="noConversion"/>
  <conditionalFormatting sqref="F9">
    <cfRule type="expression" dxfId="6" priority="7">
      <formula>"Desconectado"</formula>
    </cfRule>
  </conditionalFormatting>
  <conditionalFormatting sqref="F9:F59">
    <cfRule type="cellIs" dxfId="5" priority="3" operator="equal">
      <formula>"INESTABLE"</formula>
    </cfRule>
    <cfRule type="cellIs" dxfId="4" priority="4" operator="equal">
      <formula>"ESTABLE"</formula>
    </cfRule>
    <cfRule type="cellIs" dxfId="3" priority="5" operator="equal">
      <formula>"Conectado"</formula>
    </cfRule>
    <cfRule type="cellIs" dxfId="2" priority="6" operator="equal">
      <formula>"Desconectado"</formula>
    </cfRule>
    <cfRule type="cellIs" dxfId="1" priority="2" operator="equal">
      <formula>"[OK]"</formula>
    </cfRule>
    <cfRule type="cellIs" dxfId="0" priority="1" operator="equal">
      <formula>"[ERROR]"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5</xdr:col>
                    <xdr:colOff>641350</xdr:colOff>
                    <xdr:row>3</xdr:row>
                    <xdr:rowOff>127000</xdr:rowOff>
                  </from>
                  <to>
                    <xdr:col>6</xdr:col>
                    <xdr:colOff>876300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2023-09-19T00:32:13Z</dcterms:modified>
</cp:coreProperties>
</file>