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4AFA9B99-6280-4A3D-AF1B-CD3982C043E9}" xr6:coauthVersionLast="47" xr6:coauthVersionMax="47" xr10:uidLastSave="{00000000-0000-0000-0000-000000000000}"/>
  <bookViews>
    <workbookView xWindow="-90" yWindow="0" windowWidth="9780" windowHeight="10890" firstSheet="4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<sst xmlns="http://schemas.openxmlformats.org/spreadsheetml/2006/main" count="349" uniqueCount="255">
  <si>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</si>
  <si>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</si>
  <si>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</si>
  <si>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</si>
  <si>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</si>
  <si>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</si>
  <si>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</si>
  <si>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</si>
  <si>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</si>
  <si>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</si>
  <si>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</si>
  <si>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</si>
  <si>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</si>
  <si>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</si>
  <si>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</si>
  <si>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</si>
  <si>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</si>
  <si>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</si>
  <si>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</si>
  <si>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</si>
  <si>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</si>
  <si>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</si>
  <si>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</si>
  <si>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</si>
  <si>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</si>
  <si>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</si>
  <si>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</si>
  <si>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</si>
  <si>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</si>
  <si>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</si>
  <si>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</si>
  <si>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</si>
  <si>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</si>
  <si>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</si>
  <si>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</si>
  <si>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</si>
  <si>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</si>
  <si>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</si>
  <si>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</si>
  <si>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</si>
  <si>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</si>
  <si>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</si>
  <si>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</si>
  <si>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</si>
  <si>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</si>
  <si>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</si>
  <si>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</si>
  <si>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</si>
  <si>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</si>
  <si>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</si>
  <si>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</si>
  <si>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</si>
  <si>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</si>
  <si>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</si>
  <si>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</si>
  <si>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</si>
  <si>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</si>
  <si>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</si>
  <si>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</si>
  <si>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</si>
  <si>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</si>
  <si>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</si>
  <si>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</si>
  <si>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</si>
  <si>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</si>
  <si>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</si>
  <si>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</si>
  <si>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</si>
  <si>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</si>
  <si>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</si>
  <si>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</si>
  <si>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</si>
  <si>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</si>
  <si>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</si>
  <si>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</si>
  <si>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</si>
  <si>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</si>
  <si>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</si>
  <si>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</si>
  <si>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</si>
  <si>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</si>
  <si>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</si>
  <si>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</si>
  <si>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</si>
  <si>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</si>
  <si>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</si>
  <si>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</si>
  <si>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</si>
  <si>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</si>
  <si>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</si>
  <si>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</si>
  <si>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</si>
  <si>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</si>
  <si>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</si>
  <si>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</si>
  <si>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</si>
  <si>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</si>
  <si>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</si>
  <si>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</si>
  <si>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</si>
  <si>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</si>
  <si>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</si>
  <si>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</si>
  <si>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</si>
  <si>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</si>
  <si>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</si>
  <si>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</si>
  <si>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</si>
  <si>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</si>
  <si>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</si>
  <si>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</si>
  <si>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</si>
  <si>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</si>
  <si>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</si>
  <si>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</si>
  <si>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</si>
  <si>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</si>
  <si>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</si>
  <si>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</si>
  <si>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</si>
  <si>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</si>
  <si>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</si>
  <si>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</si>
  <si>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</si>
  <si>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</si>
  <si>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</si>
  <si>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</si>
  <si>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</si>
  <si>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</si>
  <si>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</si>
  <si>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</si>
  <si>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</si>
  <si>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</si>
  <si>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</si>
  <si>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</si>
  <si>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</si>
  <si>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</si>
  <si>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</si>
  <si>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</si>
  <si>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</si>
  <si>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</si>
  <si>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</si>
  <si>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</si>
  <si>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</si>
  <si>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</si>
  <si>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</si>
  <si>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</si>
  <si>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</si>
  <si>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</si>
  <si>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</si>
  <si>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</si>
  <si>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</si>
  <si>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</si>
  <si>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</si>
  <si>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</si>
  <si>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</si>
  <si>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</si>
  <si>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</si>
  <si>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</si>
  <si>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</si>
  <si>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</si>
  <si>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</si>
  <si>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</si>
  <si>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</si>
  <si>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</si>
  <si>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</si>
  <si>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</si>
  <si>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</si>
  <si>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</si>
  <si>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</si>
  <si>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</si>
  <si>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</si>
  <si>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</si>
  <si>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</si>
  <si>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</si>
  <si>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</si>
  <si>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</si>
  <si>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</si>
  <si>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</si>
  <si>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</si>
  <si>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</si>
  <si>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</si>
  <si>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</si>
  <si>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</si>
  <si>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</si>
  <si>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</si>
  <si>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</si>
  <si>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</si>
  <si>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</si>
  <si>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</si>
  <si>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</si>
  <si>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</si>
  <si>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</si>
  <si>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</si>
  <si>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</si>
  <si>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</si>
  <si>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</si>
  <si>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</si>
  <si>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</si>
  <si>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</si>
  <si>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</si>
  <si>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</si>
  <si>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</si>
  <si>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</si>
  <si>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</si>
  <si>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</si>
  <si>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</si>
  <si>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</si>
  <si>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</si>
  <si>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</si>
  <si>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</si>
  <si>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</si>
  <si>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</si>
  <si>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</si>
  <si>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</si>
  <si>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</si>
  <si>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</si>
  <si>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</si>
  <si>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</si>
  <si>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</si>
  <si>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</si>
  <si>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</si>
  <si>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</si>
  <si>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</si>
  <si>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</si>
  <si>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</si>
  <si>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</si>
  <si>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</si>
  <si>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</si>
  <si>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</si>
  <si>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</si>
  <si>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</si>
  <si>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</si>
  <si>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</si>
  <si>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</si>
  <si>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</si>
  <si>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</si>
  <si>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</si>
  <si>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</si>
  <si>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</si>
  <si>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</si>
  <si>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</si>
  <si>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</si>
  <si>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</si>
  <si>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</si>
  <si>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</si>
  <si>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</si>
  <si>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</si>
  <si>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</si>
  <si>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</si>
  <si>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</si>
  <si>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</si>
  <si>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[OK]</t>
  </si>
  <si>
    <t>[ERROR]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</si>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</sst>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639290</xdr:colOff>
          <xdr:row>3</xdr:row>
          <xdr:rowOff>124769</xdr:rowOff>
        </xdr:from>
        <xdr:to>
          <xdr:col>6</xdr:col>
          <xdr:colOff>877673</xdr:colOff>
          <xdr:row>6</xdr:row>
          <xdr:rowOff>54919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986653</xdr:colOff>
          <xdr:row>3</xdr:row>
          <xdr:rowOff>131119</xdr:rowOff>
        </xdr:from>
        <xdr:to>
          <xdr:col>7</xdr:col>
          <xdr:colOff>0</xdr:colOff>
          <xdr:row>6</xdr:row>
          <xdr:rowOff>54919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8" dataDxfId="47">
  <autoFilter ref="A1:D49" xr:uid="{7E458205-B524-4893-8F4D-5AD9C32C1DB1}"/>
  <tableColumns count="4">
    <tableColumn id="9" xr3:uid="{01274717-D802-4E0B-B759-CF29B3AC66D4}" name="Linea" dataDxfId="46"/>
    <tableColumn id="1" xr3:uid="{CAACD12C-D1EE-4308-9E4A-8A5F3CC6EB3D}" name="Número" dataDxfId="45"/>
    <tableColumn id="2" xr3:uid="{F3BCB6C4-7176-4EF8-81E7-38DE67FC910A}" name="Estación" dataDxfId="44"/>
    <tableColumn id="8" xr3:uid="{DE548BF0-9331-40D2-BFFD-5751A7C3BC9B}" name="IP" dataDxfId="43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2" dataDxfId="41">
  <autoFilter ref="A1:D38" xr:uid="{CF63B8E9-037F-456D-B9CE-A641C7E05743}"/>
  <tableColumns count="4">
    <tableColumn id="8" xr3:uid="{69F0C78F-CE14-41C7-9A46-C6D9E9417C15}" name="Linea" dataDxfId="40"/>
    <tableColumn id="1" xr3:uid="{3D3DFA51-E186-4721-9A1C-90FB73B5E85B}" name="Número" dataDxfId="39"/>
    <tableColumn id="2" xr3:uid="{67B6548C-BED8-4BB9-9317-75FA2256E62B}" name="Estación" dataDxfId="38"/>
    <tableColumn id="7" xr3:uid="{D2EE6AF4-3466-48FF-BD9B-7CDE633659C0}" name="IP" dataDxfId="37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6" dataDxfId="35">
  <autoFilter ref="A1:D39" xr:uid="{46DBF878-8714-468D-AB57-6D87EE4F651B}"/>
  <tableColumns count="4">
    <tableColumn id="8" xr3:uid="{BBF50E85-1783-4ED1-84F5-81EDD6DA1892}" name="Linea" dataDxfId="34"/>
    <tableColumn id="1" xr3:uid="{B48485CC-962F-4CCD-AFCC-82C09CE5C77D}" name="Número" dataDxfId="33"/>
    <tableColumn id="2" xr3:uid="{27A38237-DA10-4BDC-A938-6BC51BEA68CB}" name="Estación" dataDxfId="32"/>
    <tableColumn id="7" xr3:uid="{EBA69F51-DD1A-4A70-8893-862371B4FF13}" name="IP" dataDxfId="31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30" dataDxfId="29">
  <autoFilter ref="A1:D5" xr:uid="{7E1605E0-D03C-40FF-BBFC-FB915F6C469C}"/>
  <tableColumns count="4">
    <tableColumn id="8" xr3:uid="{9A36B41A-6E03-4B21-B7B0-6A5C459B644F}" name="Linea" dataDxfId="28"/>
    <tableColumn id="1" xr3:uid="{8CBB99D6-461E-4BE3-AA4A-EB145333D9D2}" name="Número" dataDxfId="27"/>
    <tableColumn id="2" xr3:uid="{174E264C-8ABD-465C-8152-9D19DDCC326E}" name="Estación" dataDxfId="26"/>
    <tableColumn id="7" xr3:uid="{CBC3A8BC-91E6-41BC-B97F-D530DF4957E7}" name="IP" dataDxfId="25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4" dataDxfId="23">
  <autoFilter ref="A1:D52" xr:uid="{9D228135-7642-4AF6-AD66-2A339006015A}"/>
  <tableColumns count="4">
    <tableColumn id="9" xr3:uid="{FB80E68C-DF8C-4759-A957-FD20C9264F0B}" name="Linea" dataDxfId="22"/>
    <tableColumn id="1" xr3:uid="{52DE81E1-0AAA-4F49-B099-BDE1805560D2}" name="Número" dataDxfId="21"/>
    <tableColumn id="2" xr3:uid="{5E85BAAC-56F3-4F0B-9A6A-062BB9D48B0E}" name="Estación" dataDxfId="20"/>
    <tableColumn id="8" xr3:uid="{6FD41838-D5C8-4364-8261-D02ADA8D4543}" name="IP" dataDxfId="19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8" dataDxfId="17">
  <autoFilter ref="A1:D38" xr:uid="{612B74E8-FE54-4279-ADFA-0D90846798F3}"/>
  <tableColumns count="4">
    <tableColumn id="9" xr3:uid="{739C3434-DB76-4DB4-9C66-01B57541D7F3}" name="Linea" dataDxfId="16"/>
    <tableColumn id="1" xr3:uid="{03CF7848-F3FA-4585-9E3D-F24CD75A8782}" name="Número" dataDxfId="15"/>
    <tableColumn id="2" xr3:uid="{1D049ADE-6CB8-43ED-98A5-871DA65206CF}" name="Estación" dataDxfId="14"/>
    <tableColumn id="8" xr3:uid="{2C656A71-65BD-4E6F-8223-92C6EB765F98}" name="IP" dataDxfId="13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2" dataDxfId="11">
  <autoFilter ref="A1:D28" xr:uid="{51CFA3F2-B891-441F-8DD2-7A459E81D952}"/>
  <tableColumns count="4">
    <tableColumn id="9" xr3:uid="{B9D78AF5-D4ED-47F3-8BA7-772CAF1BEB8E}" name="Linea " dataDxfId="10"/>
    <tableColumn id="1" xr3:uid="{721F9B02-8324-4E75-9218-2268A76394A8}" name="Número" dataDxfId="9"/>
    <tableColumn id="2" xr3:uid="{CBAD77E0-72E2-47D0-8749-7A587F6D4291}" name="Estación" dataDxfId="8"/>
    <tableColumn id="8" xr3:uid="{9EDF1B7A-A70F-4962-805A-8FAF35295DFE}" name="IP" dataDxfId="7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12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74" zoomScaleNormal="60" workbookViewId="0">
      <selection activeCell="N28" sqref="N28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.26953125" style="30" hidden="1" customWidth="1"/>
    <col min="12" max="12" width="14.1796875" style="30" hidden="1" customWidth="1"/>
    <col min="13" max="13" width="51.542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10.6.1.100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10.6.2.100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10.6.3.100</v>
      </c>
    </row>
    <row r="5" spans="2:13" x14ac:dyDescent="0.35">
      <c r="B5" s="40" t="s">
        <v>242</v>
      </c>
      <c r="C5" s="40"/>
      <c r="D5" s="40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10.6.4.100</v>
      </c>
    </row>
    <row r="6" spans="2:13" x14ac:dyDescent="0.35">
      <c r="B6" s="39" t="s">
        <v>239</v>
      </c>
      <c r="C6" s="39"/>
      <c r="D6" s="39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10.6.5.100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10.6.6.100</v>
      </c>
    </row>
    <row r="8" spans="2:13" x14ac:dyDescent="0.35">
      <c r="B8" s="37" t="str" cm="1">
        <f t="array" aca="1" ref="B8:E45" ca="1">INDIRECT(B6)</f>
        <v>Linea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10.6.7.100</v>
      </c>
    </row>
    <row r="9" spans="2:13" x14ac:dyDescent="0.35">
      <c r="B9" s="22">
        <f ca="1"/>
        <v>6</v>
      </c>
      <c r="C9" s="22">
        <f ca="1"/>
        <v>1</v>
      </c>
      <c r="D9" s="23" t="str">
        <f ca="1"/>
        <v>Villa de Aragón</v>
      </c>
      <c r="E9" s="23" t="str">
        <f ca="1"/>
        <v>http://10.6.1.100</v>
      </c>
      <c r="F9" s="34" t="s">
        <v>253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10.6.8.100</v>
      </c>
    </row>
    <row r="10" spans="2:13" x14ac:dyDescent="0.35">
      <c r="B10" s="22">
        <f ca="1"/>
        <v>6</v>
      </c>
      <c r="C10" s="22">
        <f ca="1"/>
        <v>2</v>
      </c>
      <c r="D10" s="23" t="str">
        <f ca="1"/>
        <v>Francisco Morazán</v>
      </c>
      <c r="E10" s="23" t="str">
        <f ca="1"/>
        <v>http://10.6.2.100</v>
      </c>
      <c r="F10" s="33" t="s">
        <v>252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10.6.9.100</v>
      </c>
    </row>
    <row r="11" spans="2:13" x14ac:dyDescent="0.35">
      <c r="B11" s="22">
        <f ca="1"/>
        <v>6</v>
      </c>
      <c r="C11" s="22">
        <f ca="1"/>
        <v>3</v>
      </c>
      <c r="D11" s="23" t="str">
        <f ca="1"/>
        <v>Colegio de Bachilleres 9</v>
      </c>
      <c r="E11" s="23" t="str">
        <f ca="1"/>
        <v>http://10.6.3.100</v>
      </c>
      <c r="F11" s="33" t="s">
        <v>252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10.6.10.100</v>
      </c>
    </row>
    <row r="12" spans="2:13" x14ac:dyDescent="0.35">
      <c r="B12" s="22">
        <f ca="1"/>
        <v>6</v>
      </c>
      <c r="C12" s="22">
        <f ca="1"/>
        <v>4</v>
      </c>
      <c r="D12" s="23" t="str">
        <f ca="1"/>
        <v>La Pradera</v>
      </c>
      <c r="E12" s="23" t="str">
        <f ca="1"/>
        <v>http://10.6.4.100</v>
      </c>
      <c r="F12" s="33" t="s">
        <v>252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10.6.11.100</v>
      </c>
    </row>
    <row r="13" spans="2:13" x14ac:dyDescent="0.35">
      <c r="B13" s="22">
        <f ca="1"/>
        <v>6</v>
      </c>
      <c r="C13" s="22">
        <f ca="1"/>
        <v>5</v>
      </c>
      <c r="D13" s="23" t="str">
        <f ca="1"/>
        <v>Volcán de Fuego</v>
      </c>
      <c r="E13" s="23" t="str">
        <f ca="1"/>
        <v>http://10.6.5.100</v>
      </c>
      <c r="F13" s="33" t="s">
        <v>252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10.6.12.100</v>
      </c>
    </row>
    <row r="14" spans="2:13" x14ac:dyDescent="0.35">
      <c r="B14" s="22">
        <f ca="1"/>
        <v>6</v>
      </c>
      <c r="C14" s="22">
        <f ca="1"/>
        <v>6</v>
      </c>
      <c r="D14" s="23" t="str">
        <f ca="1"/>
        <v>Ampliación Providencia</v>
      </c>
      <c r="E14" s="23" t="str">
        <f ca="1"/>
        <v>http://10.6.6.100</v>
      </c>
      <c r="F14" s="33" t="s">
        <v>252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10.6.13.100</v>
      </c>
    </row>
    <row r="15" spans="2:13" x14ac:dyDescent="0.35">
      <c r="B15" s="22">
        <f ca="1"/>
        <v>6</v>
      </c>
      <c r="C15" s="22">
        <f ca="1"/>
        <v>7</v>
      </c>
      <c r="D15" s="23" t="str">
        <f ca="1"/>
        <v>Deportivo los Galeana</v>
      </c>
      <c r="E15" s="23" t="str">
        <f ca="1"/>
        <v>http://10.6.7.100</v>
      </c>
      <c r="F15" s="33" t="s">
        <v>252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10.6.14.100</v>
      </c>
    </row>
    <row r="16" spans="2:13" x14ac:dyDescent="0.35">
      <c r="B16" s="22">
        <f ca="1"/>
        <v>6</v>
      </c>
      <c r="C16" s="22">
        <f ca="1"/>
        <v>8</v>
      </c>
      <c r="D16" s="23" t="str">
        <f ca="1"/>
        <v xml:space="preserve">Av. 416 Poniente </v>
      </c>
      <c r="E16" s="23" t="str">
        <f ca="1"/>
        <v>http://10.6.8.100</v>
      </c>
      <c r="F16" s="33" t="s">
        <v>253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10.6.15.100</v>
      </c>
    </row>
    <row r="17" spans="2:11" x14ac:dyDescent="0.35">
      <c r="B17" s="22">
        <f ca="1"/>
        <v>6</v>
      </c>
      <c r="C17" s="22">
        <f ca="1"/>
        <v>9</v>
      </c>
      <c r="D17" s="23" t="str">
        <f ca="1"/>
        <v xml:space="preserve">Av. 416 Oriente </v>
      </c>
      <c r="E17" s="23" t="str">
        <f ca="1"/>
        <v>http://10.6.9.100</v>
      </c>
      <c r="F17" s="33" t="s">
        <v>252</v>
      </c>
      <c r="G17" s="21"/>
      <c r="H17" t="s">
        <v>233</v>
      </c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10.6.16.100</v>
      </c>
    </row>
    <row r="18" spans="2:11" x14ac:dyDescent="0.35">
      <c r="B18" s="22">
        <f ca="1"/>
        <v>6</v>
      </c>
      <c r="C18" s="22">
        <f ca="1"/>
        <v>10</v>
      </c>
      <c r="D18" s="23" t="str">
        <f ca="1"/>
        <v>Av. 414</v>
      </c>
      <c r="E18" s="23" t="str">
        <f ca="1"/>
        <v>http://10.6.10.100</v>
      </c>
      <c r="F18" s="33" t="s">
        <v>252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10.6.17.100</v>
      </c>
    </row>
    <row r="19" spans="2:11" x14ac:dyDescent="0.35">
      <c r="B19" s="22">
        <f ca="1"/>
        <v>6</v>
      </c>
      <c r="C19" s="22">
        <f ca="1"/>
        <v>11</v>
      </c>
      <c r="D19" s="23" t="str">
        <f ca="1"/>
        <v>Av. 482</v>
      </c>
      <c r="E19" s="23" t="str">
        <f ca="1"/>
        <v>http://10.6.11.100</v>
      </c>
      <c r="F19" s="33" t="s">
        <v>252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10.6.18.100</v>
      </c>
    </row>
    <row r="20" spans="2:11" x14ac:dyDescent="0.35">
      <c r="B20" s="22">
        <f ca="1"/>
        <v>6</v>
      </c>
      <c r="C20" s="22">
        <f ca="1"/>
        <v>12</v>
      </c>
      <c r="D20" s="23" t="str">
        <f ca="1"/>
        <v>Loreto Fabela</v>
      </c>
      <c r="E20" s="23" t="str">
        <f ca="1"/>
        <v>http://10.6.12.100</v>
      </c>
      <c r="F20" s="33" t="s">
        <v>253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10.6.19.100</v>
      </c>
    </row>
    <row r="21" spans="2:11" x14ac:dyDescent="0.35">
      <c r="B21" s="22">
        <f ca="1"/>
        <v>6</v>
      </c>
      <c r="C21" s="22">
        <f ca="1"/>
        <v>13</v>
      </c>
      <c r="D21" s="23" t="str">
        <f ca="1"/>
        <v>Pueblo San Juan de Aragón</v>
      </c>
      <c r="E21" s="23" t="str">
        <f ca="1"/>
        <v>http://10.6.13.100</v>
      </c>
      <c r="F21" s="33" t="s">
        <v>252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10.6.20.100</v>
      </c>
    </row>
    <row r="22" spans="2:11" x14ac:dyDescent="0.35">
      <c r="B22" s="22">
        <f ca="1"/>
        <v>6</v>
      </c>
      <c r="C22" s="22">
        <f ca="1"/>
        <v>14</v>
      </c>
      <c r="D22" s="23" t="str">
        <f ca="1"/>
        <v>Casas Alemán</v>
      </c>
      <c r="E22" s="23" t="str">
        <f ca="1"/>
        <v>http://10.6.14.100</v>
      </c>
      <c r="F22" s="33" t="s">
        <v>252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10.6.21.100</v>
      </c>
    </row>
    <row r="23" spans="2:11" x14ac:dyDescent="0.35">
      <c r="B23" s="22">
        <f ca="1"/>
        <v>6</v>
      </c>
      <c r="C23" s="22">
        <f ca="1"/>
        <v>15</v>
      </c>
      <c r="D23" s="23" t="str">
        <f ca="1"/>
        <v>Gran Canal</v>
      </c>
      <c r="E23" s="23" t="str">
        <f ca="1"/>
        <v>http://10.6.15.100</v>
      </c>
      <c r="F23" s="33" t="s">
        <v>252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10.6.22.100</v>
      </c>
    </row>
    <row r="24" spans="2:11" x14ac:dyDescent="0.35">
      <c r="B24" s="22">
        <f ca="1"/>
        <v>6</v>
      </c>
      <c r="C24" s="22">
        <f ca="1"/>
        <v>16</v>
      </c>
      <c r="D24" s="23" t="str">
        <f ca="1"/>
        <v>San Juan de Aragón</v>
      </c>
      <c r="E24" s="23" t="str">
        <f ca="1"/>
        <v>http://10.6.16.100</v>
      </c>
      <c r="F24" s="33" t="s">
        <v>253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10.6.23.100</v>
      </c>
    </row>
    <row r="25" spans="2:11" x14ac:dyDescent="0.35">
      <c r="B25" s="22">
        <f ca="1"/>
        <v>6</v>
      </c>
      <c r="C25" s="22">
        <f ca="1"/>
        <v>17</v>
      </c>
      <c r="D25" s="23" t="str">
        <f ca="1"/>
        <v>Hospital General La Villa</v>
      </c>
      <c r="E25" s="23" t="str">
        <f ca="1"/>
        <v>http://10.6.17.100</v>
      </c>
      <c r="F25" s="33" t="s">
        <v>252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10.6.24.100</v>
      </c>
    </row>
    <row r="26" spans="2:11" x14ac:dyDescent="0.35">
      <c r="B26" s="22">
        <f ca="1"/>
        <v>6</v>
      </c>
      <c r="C26" s="22">
        <f ca="1"/>
        <v>18</v>
      </c>
      <c r="D26" s="23" t="str">
        <f ca="1"/>
        <v>Martín Carrera</v>
      </c>
      <c r="E26" s="23" t="str">
        <f ca="1"/>
        <v>http://10.6.18.100</v>
      </c>
      <c r="F26" s="33" t="s">
        <v>253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10.6.25.100</v>
      </c>
    </row>
    <row r="27" spans="2:11" x14ac:dyDescent="0.35">
      <c r="B27" s="22">
        <f ca="1"/>
        <v>6</v>
      </c>
      <c r="C27" s="22">
        <f ca="1"/>
        <v>19</v>
      </c>
      <c r="D27" s="23" t="str">
        <f ca="1"/>
        <v>Delegación GAM</v>
      </c>
      <c r="E27" s="23" t="str">
        <f ca="1"/>
        <v>http://10.6.19.100</v>
      </c>
      <c r="F27" s="33" t="s">
        <v>252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10.6.26.100</v>
      </c>
    </row>
    <row r="28" spans="2:11" x14ac:dyDescent="0.35">
      <c r="B28" s="22">
        <f ca="1"/>
        <v>6</v>
      </c>
      <c r="C28" s="22">
        <f ca="1"/>
        <v>20</v>
      </c>
      <c r="D28" s="23" t="str">
        <f ca="1"/>
        <v>Hospital Infantil La Villa</v>
      </c>
      <c r="E28" s="23" t="str">
        <f ca="1"/>
        <v>http://10.6.20.100</v>
      </c>
      <c r="F28" s="33" t="s">
        <v>252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10.6.27.100</v>
      </c>
    </row>
    <row r="29" spans="2:11" x14ac:dyDescent="0.35">
      <c r="B29" s="22">
        <f ca="1"/>
        <v>6</v>
      </c>
      <c r="C29" s="22">
        <f ca="1"/>
        <v>21</v>
      </c>
      <c r="D29" s="23" t="str">
        <f ca="1"/>
        <v>De los Misterios</v>
      </c>
      <c r="E29" s="23" t="str">
        <f ca="1"/>
        <v>http://10.6.21.100</v>
      </c>
      <c r="F29" s="33" t="s">
        <v>253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10.6.28.100</v>
      </c>
    </row>
    <row r="30" spans="2:11" x14ac:dyDescent="0.35">
      <c r="B30" s="22">
        <f ca="1"/>
        <v>6</v>
      </c>
      <c r="C30" s="22">
        <f ca="1"/>
        <v>22</v>
      </c>
      <c r="D30" s="23" t="str">
        <f ca="1"/>
        <v>La Villa</v>
      </c>
      <c r="E30" s="23" t="str">
        <f ca="1"/>
        <v>http://10.6.22.100</v>
      </c>
      <c r="F30" s="33" t="s">
        <v>252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10.6.29.100</v>
      </c>
    </row>
    <row r="31" spans="2:11" x14ac:dyDescent="0.35">
      <c r="B31" s="22">
        <f ca="1"/>
        <v>6</v>
      </c>
      <c r="C31" s="22">
        <f ca="1"/>
        <v>23</v>
      </c>
      <c r="D31" s="23" t="str">
        <f ca="1"/>
        <v>Deportivo 18 de Marzo</v>
      </c>
      <c r="E31" s="23" t="str">
        <f ca="1"/>
        <v>http://10.6.23.100</v>
      </c>
      <c r="F31" s="33" t="s">
        <v>253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10.6.30.100</v>
      </c>
    </row>
    <row r="32" spans="2:11" x14ac:dyDescent="0.35">
      <c r="B32" s="22">
        <f ca="1"/>
        <v>6</v>
      </c>
      <c r="C32" s="22">
        <f ca="1"/>
        <v>24</v>
      </c>
      <c r="D32" s="23" t="str">
        <f ca="1"/>
        <v>Río Bamba</v>
      </c>
      <c r="E32" s="23" t="str">
        <f ca="1"/>
        <v>http://10.6.24.100</v>
      </c>
      <c r="F32" s="33" t="s">
        <v>253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10.6.31.100</v>
      </c>
    </row>
    <row r="33" spans="2:11" x14ac:dyDescent="0.35">
      <c r="B33" s="22">
        <f ca="1"/>
        <v>6</v>
      </c>
      <c r="C33" s="22">
        <f ca="1"/>
        <v>25</v>
      </c>
      <c r="D33" s="23" t="str">
        <f ca="1"/>
        <v>IPN</v>
      </c>
      <c r="E33" s="23" t="str">
        <f ca="1"/>
        <v>http://10.6.25.100</v>
      </c>
      <c r="F33" s="33" t="s">
        <v>253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10.6.32.100</v>
      </c>
    </row>
    <row r="34" spans="2:11" x14ac:dyDescent="0.35">
      <c r="B34" s="22">
        <f ca="1"/>
        <v>6</v>
      </c>
      <c r="C34" s="22">
        <f ca="1"/>
        <v>26</v>
      </c>
      <c r="D34" s="23" t="str">
        <f ca="1"/>
        <v>San Bartolo</v>
      </c>
      <c r="E34" s="23" t="str">
        <f ca="1"/>
        <v>http://10.6.26.100</v>
      </c>
      <c r="F34" s="33" t="s">
        <v>253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10.6.33.100</v>
      </c>
    </row>
    <row r="35" spans="2:11" x14ac:dyDescent="0.35">
      <c r="B35" s="22">
        <f ca="1"/>
        <v>6</v>
      </c>
      <c r="C35" s="22">
        <f ca="1"/>
        <v>27</v>
      </c>
      <c r="D35" s="23" t="str">
        <f ca="1"/>
        <v>Instituto del Petróleo</v>
      </c>
      <c r="E35" s="23" t="str">
        <f ca="1"/>
        <v>http://10.6.27.100</v>
      </c>
      <c r="F35" s="33" t="s">
        <v>253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10.6.34.100</v>
      </c>
    </row>
    <row r="36" spans="2:11" x14ac:dyDescent="0.35">
      <c r="B36" s="22">
        <f ca="1"/>
        <v>6</v>
      </c>
      <c r="C36" s="22">
        <f ca="1"/>
        <v>28</v>
      </c>
      <c r="D36" s="23" t="str">
        <f ca="1"/>
        <v>Lindavista-Vallejo</v>
      </c>
      <c r="E36" s="23" t="str">
        <f ca="1"/>
        <v>http://10.6.28.100</v>
      </c>
      <c r="F36" s="33" t="s">
        <v>252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10.6.35.100</v>
      </c>
    </row>
    <row r="37" spans="2:11" x14ac:dyDescent="0.35">
      <c r="B37" s="22">
        <f ca="1"/>
        <v>6</v>
      </c>
      <c r="C37" s="22">
        <f ca="1"/>
        <v>29</v>
      </c>
      <c r="D37" s="23" t="str">
        <f ca="1"/>
        <v>Montevideo</v>
      </c>
      <c r="E37" s="23" t="str">
        <f ca="1"/>
        <v>http://10.6.29.100</v>
      </c>
      <c r="F37" s="33" t="s">
        <v>252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10.6.36.100</v>
      </c>
    </row>
    <row r="38" spans="2:11" x14ac:dyDescent="0.35">
      <c r="B38" s="22">
        <f ca="1"/>
        <v>6</v>
      </c>
      <c r="C38" s="22">
        <f ca="1"/>
        <v>30</v>
      </c>
      <c r="D38" s="23" t="str">
        <f ca="1"/>
        <v>Norte 45</v>
      </c>
      <c r="E38" s="23" t="str">
        <f ca="1"/>
        <v>http://10.6.30.100</v>
      </c>
      <c r="F38" s="33" t="s">
        <v>252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10.6.37.100</v>
      </c>
    </row>
    <row r="39" spans="2:11" x14ac:dyDescent="0.35">
      <c r="B39" s="22">
        <f ca="1"/>
        <v>6</v>
      </c>
      <c r="C39" s="22">
        <f ca="1"/>
        <v>31</v>
      </c>
      <c r="D39" s="23" t="str">
        <f ca="1"/>
        <v>Norte 59</v>
      </c>
      <c r="E39" s="23" t="str">
        <f ca="1"/>
        <v>http://10.6.31.100</v>
      </c>
      <c r="F39" s="33" t="s">
        <v>252</v>
      </c>
      <c r="G39" s="21"/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>
        <f ca="1"/>
        <v>6</v>
      </c>
      <c r="C40" s="22">
        <f ca="1"/>
        <v>32</v>
      </c>
      <c r="D40" s="23" t="str">
        <f ca="1"/>
        <v>Tecnoparque</v>
      </c>
      <c r="E40" s="23" t="str">
        <f ca="1"/>
        <v>http://10.6.32.100</v>
      </c>
      <c r="F40" s="33" t="s">
        <v>252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6</v>
      </c>
      <c r="C41" s="22">
        <f ca="1"/>
        <v>33</v>
      </c>
      <c r="D41" s="23" t="str">
        <f ca="1"/>
        <v>UAM Azcapotzalco</v>
      </c>
      <c r="E41" s="23" t="str">
        <f ca="1"/>
        <v>http://10.6.33.100</v>
      </c>
      <c r="F41" s="33" t="s">
        <v>252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6</v>
      </c>
      <c r="C42" s="22">
        <f ca="1"/>
        <v>34</v>
      </c>
      <c r="D42" s="23" t="str">
        <f ca="1"/>
        <v>Ferrocarriles Nacionales</v>
      </c>
      <c r="E42" s="23" t="str">
        <f ca="1"/>
        <v>http://10.6.34.100</v>
      </c>
      <c r="F42" s="33" t="s">
        <v>252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6</v>
      </c>
      <c r="C43" s="22">
        <f ca="1"/>
        <v>35</v>
      </c>
      <c r="D43" s="23" t="str">
        <f ca="1"/>
        <v>De las Culturas</v>
      </c>
      <c r="E43" s="23" t="str">
        <f ca="1"/>
        <v>http://10.6.35.100</v>
      </c>
      <c r="F43" s="33" t="s">
        <v>252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6</v>
      </c>
      <c r="C44" s="22">
        <f ca="1"/>
        <v>36</v>
      </c>
      <c r="D44" s="23" t="str">
        <f ca="1"/>
        <v>Colegio de Bachilleres 1</v>
      </c>
      <c r="E44" s="23" t="str">
        <f ca="1"/>
        <v>http://10.6.36.100</v>
      </c>
      <c r="F44" s="33" t="s">
        <v>252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6</v>
      </c>
      <c r="C45" s="22">
        <f ca="1"/>
        <v>37</v>
      </c>
      <c r="D45" s="23" t="str">
        <f ca="1"/>
        <v>El Rosario</v>
      </c>
      <c r="E45" s="23" t="str">
        <f ca="1"/>
        <v>http://10.6.37.100</v>
      </c>
      <c r="F45" s="33" t="s">
        <v>252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>
        <v>0</v>
      </c>
      <c r="F46" s="33" t="s">
        <v>254</v>
      </c>
      <c r="G46" s="21"/>
      <c r="H46" t="s">
        <v>252</v>
      </c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>
        <v>0</v>
      </c>
      <c r="F47" s="33" t="s">
        <v>254</v>
      </c>
      <c r="G47" s="21"/>
      <c r="H47" t="s">
        <v>252</v>
      </c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>
        <v>0</v>
      </c>
      <c r="F48" s="33" t="s">
        <v>254</v>
      </c>
      <c r="G48" s="21"/>
      <c r="H48" t="s">
        <v>252</v>
      </c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>
        <v>0</v>
      </c>
      <c r="F49" s="33" t="s">
        <v>254</v>
      </c>
      <c r="G49" s="21"/>
      <c r="H49" t="s">
        <v>252</v>
      </c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>
        <v>0</v>
      </c>
      <c r="F50" s="33" t="s">
        <v>254</v>
      </c>
      <c r="G50" s="21"/>
      <c r="H50" t="s">
        <v>252</v>
      </c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>
        <v>0</v>
      </c>
      <c r="F51" s="33" t="s">
        <v>254</v>
      </c>
      <c r="G51" s="21"/>
      <c r="H51" t="s">
        <v>252</v>
      </c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>
        <v>0</v>
      </c>
      <c r="F52" s="33" t="s">
        <v>254</v>
      </c>
      <c r="G52" s="21"/>
      <c r="H52" t="s">
        <v>252</v>
      </c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 t="s">
        <v>233</v>
      </c>
      <c r="G53" s="21"/>
    </row>
    <row r="54" spans="2:11" x14ac:dyDescent="0.35">
      <c r="B54" s="22"/>
      <c r="C54" s="22"/>
      <c r="D54" s="23"/>
      <c r="E54" s="23"/>
      <c r="F54" s="33" t="s">
        <v>233</v>
      </c>
      <c r="G54" s="21"/>
    </row>
    <row r="55" spans="2:11" x14ac:dyDescent="0.35">
      <c r="B55" s="22"/>
      <c r="C55" s="22"/>
      <c r="D55" s="23"/>
      <c r="E55" s="23"/>
      <c r="F55" s="33" t="s">
        <v>233</v>
      </c>
      <c r="G55" s="21"/>
    </row>
    <row r="56" spans="2:11" x14ac:dyDescent="0.35">
      <c r="B56" s="22"/>
      <c r="C56" s="22"/>
      <c r="D56" s="23"/>
      <c r="E56" s="23"/>
      <c r="F56" s="33" t="s">
        <v>233</v>
      </c>
      <c r="G56" s="21"/>
    </row>
    <row r="57" spans="2:11" x14ac:dyDescent="0.35">
      <c r="B57" s="22"/>
      <c r="C57" s="22"/>
      <c r="D57" s="23"/>
      <c r="E57" s="23"/>
      <c r="F57" s="33" t="s">
        <v>233</v>
      </c>
      <c r="G57" s="21"/>
    </row>
    <row r="58" spans="2:11" x14ac:dyDescent="0.35">
      <c r="B58" s="22"/>
      <c r="C58" s="22"/>
      <c r="D58" s="23"/>
      <c r="E58" s="23"/>
      <c r="F58" s="33" t="s">
        <v>233</v>
      </c>
      <c r="G58" s="21"/>
    </row>
    <row r="59" spans="2:11" x14ac:dyDescent="0.35">
      <c r="B59" s="22"/>
      <c r="C59" s="22"/>
      <c r="D59" s="23"/>
      <c r="E59" s="23"/>
      <c r="F59" s="33" t="s">
        <v>233</v>
      </c>
      <c r="G59" s="21"/>
    </row>
  </sheetData>
  <mergeCells count="2">
    <mergeCell ref="B6:D6"/>
    <mergeCell ref="B5:D5"/>
  </mergeCells>
  <phoneticPr fontId="2" type="noConversion"/>
  <conditionalFormatting sqref="F9">
    <cfRule type="expression" dxfId="6" priority="7">
      <formula>"Desconectado"</formula>
    </cfRule>
  </conditionalFormatting>
  <conditionalFormatting sqref="F9:F59">
    <cfRule type="cellIs" dxfId="0" priority="3" operator="equal">
      <formula>"INESTABLE"</formula>
    </cfRule>
    <cfRule type="cellIs" dxfId="1" priority="4" operator="equal">
      <formula>"ESTABLE"</formula>
    </cfRule>
    <cfRule type="cellIs" dxfId="2" priority="5" operator="equal">
      <formula>"Conectado"</formula>
    </cfRule>
    <cfRule type="cellIs" dxfId="3" priority="6" operator="equal">
      <formula>"Desconectado"</formula>
    </cfRule>
    <cfRule type="cellIs" dxfId="4" priority="2" operator="equal">
      <formula>"[OK]"</formula>
    </cfRule>
    <cfRule type="cellIs" dxfId="5" priority="1" operator="equal">
      <formula>"[ERROR]"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5</xdr:col>
                    <xdr:colOff>641350</xdr:colOff>
                    <xdr:row>3</xdr:row>
                    <xdr:rowOff>127000</xdr:rowOff>
                  </from>
                  <to>
                    <xdr:col>6</xdr:col>
                    <xdr:colOff>876300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Button 9">
              <controlPr defaultSize="0" print="0" autoFill="0" autoPict="0" macro="[0]!stop_macro">
                <anchor moveWithCells="1" sizeWithCells="1">
                  <from>
                    <xdr:col>6</xdr:col>
                    <xdr:colOff>984250</xdr:colOff>
                    <xdr:row>3</xdr:row>
                    <xdr:rowOff>133350</xdr:rowOff>
                  </from>
                  <to>
                    <xdr:col>7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2023-09-15T19:26:20Z</dcterms:modified>
</cp:coreProperties>
</file>