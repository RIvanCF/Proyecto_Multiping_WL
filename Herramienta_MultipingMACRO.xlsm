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7D78954D-01F0-49B3-95F9-DF335589CD9D}" xr6:coauthVersionLast="47" xr6:coauthVersionMax="47" xr10:uidLastSave="{00000000-0000-0000-0000-000000000000}"/>
  <bookViews>
    <workbookView xWindow="-110" yWindow="-110" windowWidth="19420" windowHeight="11020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Multiping" sheetId="18" r:id="rId8"/>
  </sheets>
  <definedNames>
    <definedName name="Linea_1">Tabla1[#All]</definedName>
    <definedName name="Linea_1_Estacion">Tabla1[Estación]</definedName>
    <definedName name="Linea_2">Tabla3[#All]</definedName>
    <definedName name="Linea_2_Estacion">Tabla3[Estación]</definedName>
    <definedName name="Linea_3">Tabla4[#All]</definedName>
    <definedName name="Linea_3_Estacion">Tabla4[Estación]</definedName>
    <definedName name="Linea_4">Tabla5[#All]</definedName>
    <definedName name="Linea_4_Estacion">Tabla5[Estación]</definedName>
    <definedName name="Linea_5">Tabla6[#All]</definedName>
    <definedName name="Linea_5_Estacion">Tabla6[Estación]</definedName>
    <definedName name="Linea_6">Tabla9[#All]</definedName>
    <definedName name="Linea_6_Estacion">Tabla9[Estación]</definedName>
    <definedName name="Linea_7">Tabla11[#All]</definedName>
    <definedName name="Linea_7_Estacion">Tabla11[Estación]</definedName>
    <definedName name="MB">Multiping!$J$2:$J$8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8" l="1" a="1"/>
  <c r="K10" i="18" s="1"/>
  <c r="I9" i="18" a="1"/>
  <c r="I9" i="18" s="1"/>
  <c r="I15" i="18" s="1"/>
  <c r="K5" i="18" l="1" a="1"/>
  <c r="K5" i="18" s="1"/>
  <c r="K6" i="18" a="1"/>
  <c r="K6" i="18" s="1"/>
  <c r="K7" i="18" a="1"/>
  <c r="K7" i="18" s="1"/>
  <c r="K8" i="18" a="1"/>
  <c r="K8" i="18" s="1"/>
  <c r="K3" i="18" a="1"/>
  <c r="K3" i="18" s="1"/>
  <c r="K4" i="18" a="1"/>
  <c r="K4" i="18" s="1"/>
  <c r="K9" i="18" a="1"/>
  <c r="K9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2" i="18" a="1"/>
  <c r="K2" i="18" s="1"/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<sst xmlns="http://schemas.openxmlformats.org/spreadsheetml/2006/main" count="368" uniqueCount="257">
  <si>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</si>
  <si>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</si>
  <si>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</si>
  <si>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</si>
  <si>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</si>
  <si>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</si>
  <si>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</si>
  <si>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</si>
  <si>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</si>
  <si>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</si>
  <si>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</si>
  <si>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</si>
  <si>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</si>
  <si>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</si>
  <si>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</si>
  <si>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</si>
  <si>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</si>
  <si>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</si>
  <si>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</si>
  <si>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</si>
  <si>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</si>
  <si>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</si>
  <si>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</si>
  <si>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</si>
  <si>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</si>
  <si>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</si>
  <si>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</si>
  <si>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</si>
  <si>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</si>
  <si>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</si>
  <si>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</si>
  <si>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</si>
  <si>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</si>
  <si>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</si>
  <si>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</si>
  <si>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</si>
  <si>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</si>
  <si>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</si>
  <si>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</si>
  <si>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</si>
  <si>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</si>
  <si>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</si>
  <si>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</si>
  <si>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</si>
  <si>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</si>
  <si>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</si>
  <si>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</si>
  <si>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</si>
  <si>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</si>
  <si>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</si>
  <si>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</si>
  <si>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</si>
  <si>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</si>
  <si>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</si>
  <si>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</si>
  <si>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</si>
  <si>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</si>
  <si>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</si>
  <si>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</si>
  <si>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</si>
  <si>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</si>
  <si>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</si>
  <si>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</si>
  <si>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</si>
  <si>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</si>
  <si>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</si>
  <si>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</si>
  <si>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</si>
  <si>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</si>
  <si>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</si>
  <si>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</si>
  <si>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</si>
  <si>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</si>
  <si>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</si>
  <si>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</si>
  <si>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</si>
  <si>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</si>
  <si>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</si>
  <si>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</si>
  <si>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</si>
  <si>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</si>
  <si>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</si>
  <si>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</si>
  <si>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</si>
  <si>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</si>
  <si>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</si>
  <si>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</si>
  <si>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</si>
  <si>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</si>
  <si>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</si>
  <si>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</si>
  <si>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</si>
  <si>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</si>
  <si>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</si>
  <si>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</si>
  <si>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</si>
  <si>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</si>
  <si>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</si>
  <si>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</si>
  <si>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</si>
  <si>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</si>
  <si>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</si>
  <si>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</si>
  <si>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</si>
  <si>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</si>
  <si>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</si>
  <si>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</si>
  <si>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</si>
  <si>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</si>
  <si>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</si>
  <si>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</si>
  <si>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</si>
  <si>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</si>
  <si>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</si>
  <si>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</si>
  <si>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</si>
  <si>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</si>
  <si>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</si>
  <si>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</si>
  <si>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</si>
  <si>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</si>
  <si>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</si>
  <si>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</si>
  <si>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</si>
  <si>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</si>
  <si>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</si>
  <si>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</si>
  <si>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</si>
  <si>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</si>
  <si>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</si>
  <si>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</si>
  <si>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</si>
  <si>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</si>
  <si>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</si>
  <si>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</si>
  <si>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</si>
  <si>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</si>
  <si>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</si>
  <si>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</si>
  <si>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</si>
  <si>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</si>
  <si>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</si>
  <si>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</si>
  <si>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</si>
  <si>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</si>
  <si>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</si>
  <si>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</si>
  <si>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</si>
  <si>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</si>
  <si>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</si>
  <si>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</si>
  <si>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</si>
  <si>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</si>
  <si>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</si>
  <si>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</si>
  <si>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</si>
  <si>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</si>
  <si>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</si>
  <si>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</si>
  <si>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</si>
  <si>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</si>
  <si>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</si>
  <si>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</si>
  <si>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</si>
  <si>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</si>
  <si>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</si>
  <si>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</si>
  <si>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</si>
  <si>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</si>
  <si>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</si>
  <si>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</si>
  <si>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</si>
  <si>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</si>
  <si>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</si>
  <si>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</si>
  <si>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</si>
  <si>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</si>
  <si>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</si>
  <si>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</si>
  <si>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</si>
  <si>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</si>
  <si>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</si>
  <si>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</si>
  <si>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</si>
  <si>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</si>
  <si>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</si>
  <si>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</si>
  <si>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</si>
  <si>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</si>
  <si>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</si>
  <si>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</si>
  <si>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</si>
  <si>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</si>
  <si>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</si>
  <si>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</si>
  <si>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</si>
  <si>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</si>
  <si>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</si>
  <si>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</si>
  <si>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</si>
  <si>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</si>
  <si>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</si>
  <si>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</si>
  <si>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</si>
  <si>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</si>
  <si>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</si>
  <si>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</si>
  <si>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</si>
  <si>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</si>
  <si>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</si>
  <si>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</si>
  <si>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</si>
  <si>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</si>
  <si>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</si>
  <si>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</si>
  <si>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</si>
  <si>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</si>
  <si>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</si>
  <si>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</si>
  <si>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</si>
  <si>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</si>
  <si>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</si>
  <si>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</si>
  <si>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</si>
  <si>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</si>
  <si>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</si>
  <si>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</si>
  <si>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</si>
  <si>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</si>
  <si>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</si>
  <si>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</si>
  <si>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</si>
  <si>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</si>
  <si>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</si>
  <si>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</si>
  <si>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</si>
  <si>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</si>
  <si>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</si>
  <si>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</si>
  <si>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</si>
  <si>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</si>
  <si>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</si>
  <si>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</si>
  <si>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</si>
  <si>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</si>
  <si>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</si>
  <si>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</si>
  <si>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</si>
  <si>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</si>
  <si>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</si>
  <si>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Estado de Conexión</t>
  </si>
  <si>
    <t>[OK]</t>
  </si>
  <si>
    <t>Velocidad de respuesta (m|s)</t>
  </si>
  <si>
    <t xml:space="preserve">Seleccione la estación a monitorear </t>
  </si>
  <si>
    <t>IP de la estación:</t>
  </si>
  <si>
    <t>[ERROR]</t>
  </si>
  <si>
    <t>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</si>
</sst>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49" fontId="11" fillId="2" borderId="6" xfId="0" applyNumberFormat="1" applyFont="1" applyFill="1" applyBorder="1" applyAlignment="1">
      <alignment horizontal="center" vertical="center"/>
    </xf>
    <xf numFmtId="0" fontId="8" fillId="0" borderId="0" xfId="0" applyFont="1"/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8" fillId="4" borderId="0" xfId="0" applyFont="1" applyFill="1" applyAlignment="1">
      <alignment vertical="center"/>
    </xf>
    <xf numFmtId="0" fontId="5" fillId="0" borderId="0" xfId="2"/>
    <xf numFmtId="0" fontId="15" fillId="0" borderId="0" xfId="0" applyFont="1" applyAlignment="1">
      <alignment vertical="center"/>
    </xf>
    <xf numFmtId="49" fontId="0" fillId="5" borderId="2" xfId="0" quotePrefix="1" applyNumberFormat="1" applyFill="1" applyBorder="1" applyAlignment="1">
      <alignment horizontal="left" vertical="center"/>
    </xf>
    <xf numFmtId="0" fontId="0" fillId="8" borderId="2" xfId="0" quotePrefix="1" applyFill="1" applyBorder="1" applyAlignment="1">
      <alignment horizontal="left" vertical="center"/>
    </xf>
    <xf numFmtId="0" fontId="9" fillId="0" borderId="0" xfId="0" quotePrefix="1" applyFont="1"/>
    <xf numFmtId="0" fontId="5" fillId="0" borderId="0" xfId="2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66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2060"/>
      <color rgb="FFB2B2B2"/>
      <color rgb="FF008000"/>
      <color rgb="FFD10518"/>
      <color rgb="FFB3FFBC"/>
      <color rgb="FFFF4F4F"/>
      <color rgb="FFFF01FF"/>
      <color rgb="FFFF3300"/>
      <color rgb="FF33CC33"/>
      <color rgb="FFAF1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0</xdr:row>
      <xdr:rowOff>46302</xdr:rowOff>
    </xdr:from>
    <xdr:to>
      <xdr:col>7</xdr:col>
      <xdr:colOff>6350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49300" y="46302"/>
          <a:ext cx="7258050" cy="512498"/>
        </a:xfrm>
        <a:prstGeom prst="rect">
          <a:avLst/>
        </a:prstGeom>
        <a:solidFill>
          <a:schemeClr val="bg1">
            <a:lumMod val="75000"/>
            <a:alpha val="69804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tx1"/>
              </a:solidFill>
            </a:rPr>
            <a:t>Herramienta Multiping</a:t>
          </a:r>
          <a:endParaRPr lang="es-MX" sz="1100" b="1" baseline="0">
            <a:solidFill>
              <a:schemeClr val="tx1"/>
            </a:solidFill>
          </a:endParaRPr>
        </a:p>
        <a:p>
          <a:pPr algn="ctr"/>
          <a:r>
            <a:rPr lang="es-MX" sz="1100" b="1" baseline="0">
              <a:solidFill>
                <a:schemeClr val="tx1"/>
              </a:solidFill>
            </a:rPr>
            <a:t>Monitoreo remoto para verificar la conexión y latencia de equipos NVR </a:t>
          </a:r>
          <a:endParaRPr lang="es-MX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139700</xdr:rowOff>
        </xdr:from>
        <xdr:to>
          <xdr:col>6</xdr:col>
          <xdr:colOff>1778000</xdr:colOff>
          <xdr:row>6</xdr:row>
          <xdr:rowOff>69850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PING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4.1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469900</xdr:colOff>
          <xdr:row>11</xdr:row>
          <xdr:rowOff>12700</xdr:rowOff>
        </xdr:from>
        <xdr:to>
          <xdr:col>8</xdr:col>
          <xdr:colOff>1752600</xdr:colOff>
          <xdr:row>13</xdr:row>
          <xdr:rowOff>6350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64" dataDxfId="63">
  <autoFilter ref="A1:D49" xr:uid="{7E458205-B524-4893-8F4D-5AD9C32C1DB1}"/>
  <tableColumns count="4">
    <tableColumn id="9" xr3:uid="{01274717-D802-4E0B-B759-CF29B3AC66D4}" name="Linea" dataDxfId="62"/>
    <tableColumn id="1" xr3:uid="{CAACD12C-D1EE-4308-9E4A-8A5F3CC6EB3D}" name="Número" dataDxfId="61"/>
    <tableColumn id="2" xr3:uid="{F3BCB6C4-7176-4EF8-81E7-38DE67FC910A}" name="Estación" dataDxfId="60"/>
    <tableColumn id="8" xr3:uid="{DE548BF0-9331-40D2-BFFD-5751A7C3BC9B}" name="IP" dataDxfId="59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58" dataDxfId="57">
  <autoFilter ref="A1:D38" xr:uid="{CF63B8E9-037F-456D-B9CE-A641C7E05743}"/>
  <tableColumns count="4">
    <tableColumn id="8" xr3:uid="{69F0C78F-CE14-41C7-9A46-C6D9E9417C15}" name="Linea" dataDxfId="56"/>
    <tableColumn id="1" xr3:uid="{3D3DFA51-E186-4721-9A1C-90FB73B5E85B}" name="Número" dataDxfId="55"/>
    <tableColumn id="2" xr3:uid="{67B6548C-BED8-4BB9-9317-75FA2256E62B}" name="Estación" dataDxfId="54"/>
    <tableColumn id="7" xr3:uid="{D2EE6AF4-3466-48FF-BD9B-7CDE633659C0}" name="IP" dataDxfId="53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52" dataDxfId="51">
  <autoFilter ref="A1:D39" xr:uid="{46DBF878-8714-468D-AB57-6D87EE4F651B}"/>
  <tableColumns count="4">
    <tableColumn id="8" xr3:uid="{BBF50E85-1783-4ED1-84F5-81EDD6DA1892}" name="Linea" dataDxfId="50"/>
    <tableColumn id="1" xr3:uid="{B48485CC-962F-4CCD-AFCC-82C09CE5C77D}" name="Número" dataDxfId="49"/>
    <tableColumn id="2" xr3:uid="{27A38237-DA10-4BDC-A938-6BC51BEA68CB}" name="Estación" dataDxfId="48"/>
    <tableColumn id="7" xr3:uid="{EBA69F51-DD1A-4A70-8893-862371B4FF13}" name="IP" dataDxfId="47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46" dataDxfId="45">
  <autoFilter ref="A1:D5" xr:uid="{7E1605E0-D03C-40FF-BBFC-FB915F6C469C}"/>
  <tableColumns count="4">
    <tableColumn id="8" xr3:uid="{9A36B41A-6E03-4B21-B7B0-6A5C459B644F}" name="Linea" dataDxfId="44"/>
    <tableColumn id="1" xr3:uid="{8CBB99D6-461E-4BE3-AA4A-EB145333D9D2}" name="Número" dataDxfId="43"/>
    <tableColumn id="2" xr3:uid="{174E264C-8ABD-465C-8152-9D19DDCC326E}" name="Estación" dataDxfId="42"/>
    <tableColumn id="7" xr3:uid="{CBC3A8BC-91E6-41BC-B97F-D530DF4957E7}" name="IP" dataDxfId="41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40" dataDxfId="39">
  <autoFilter ref="A1:D52" xr:uid="{9D228135-7642-4AF6-AD66-2A339006015A}"/>
  <tableColumns count="4">
    <tableColumn id="9" xr3:uid="{FB80E68C-DF8C-4759-A957-FD20C9264F0B}" name="Linea" dataDxfId="38"/>
    <tableColumn id="1" xr3:uid="{52DE81E1-0AAA-4F49-B099-BDE1805560D2}" name="Número" dataDxfId="37"/>
    <tableColumn id="2" xr3:uid="{5E85BAAC-56F3-4F0B-9A6A-062BB9D48B0E}" name="Estación" dataDxfId="36"/>
    <tableColumn id="8" xr3:uid="{6FD41838-D5C8-4364-8261-D02ADA8D4543}" name="IP" dataDxfId="35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34" dataDxfId="33">
  <autoFilter ref="A1:D38" xr:uid="{612B74E8-FE54-4279-ADFA-0D90846798F3}"/>
  <tableColumns count="4">
    <tableColumn id="9" xr3:uid="{739C3434-DB76-4DB4-9C66-01B57541D7F3}" name="Linea" dataDxfId="32"/>
    <tableColumn id="1" xr3:uid="{03CF7848-F3FA-4585-9E3D-F24CD75A8782}" name="Número" dataDxfId="31"/>
    <tableColumn id="2" xr3:uid="{1D049ADE-6CB8-43ED-98A5-871DA65206CF}" name="Estación" dataDxfId="30"/>
    <tableColumn id="8" xr3:uid="{2C656A71-65BD-4E6F-8223-92C6EB765F98}" name="IP" dataDxfId="29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28" dataDxfId="27">
  <autoFilter ref="A1:D28" xr:uid="{51CFA3F2-B891-441F-8DD2-7A459E81D952}"/>
  <tableColumns count="4">
    <tableColumn id="9" xr3:uid="{B9D78AF5-D4ED-47F3-8BA7-772CAF1BEB8E}" name="Linea " dataDxfId="26"/>
    <tableColumn id="1" xr3:uid="{721F9B02-8324-4E75-9218-2268A76394A8}" name="Número" dataDxfId="25"/>
    <tableColumn id="2" xr3:uid="{CBAD77E0-72E2-47D0-8749-7A587F6D4291}" name="Estación" dataDxfId="24"/>
    <tableColumn id="8" xr3:uid="{9EDF1B7A-A70F-4962-805A-8FAF35295DFE}" name="IP" dataDxfId="23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C1" sqref="C1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9.90625" bestFit="1" customWidth="1"/>
    <col min="7" max="7" width="10.45312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3" t="s">
        <v>243</v>
      </c>
      <c r="G1" s="23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4" t="str">
        <f t="array" ref="F2">RIGHT(D2,10)</f>
        <v>10.1.1.100</v>
      </c>
      <c r="G2" s="24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4" t="str">
        <f t="array" ref="F3">RIGHT(D3,10)</f>
        <v>10.1.2.100</v>
      </c>
      <c r="G3" s="24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4" t="str">
        <f t="array" ref="F4">RIGHT(D4,10)</f>
        <v>10.1.3.100</v>
      </c>
      <c r="G4" s="24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4" t="str">
        <f t="array" ref="F5">RIGHT(D5,10)</f>
        <v>10.1.4.100</v>
      </c>
      <c r="G5" s="24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4" t="str">
        <f t="array" ref="F6">RIGHT(D6,10)</f>
        <v>10.1.5.100</v>
      </c>
      <c r="G6" s="24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4" t="str">
        <f t="array" ref="F7">RIGHT(D7,10)</f>
        <v>10.1.6.100</v>
      </c>
      <c r="G7" s="24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4" t="str">
        <f t="array" ref="F8">RIGHT(D8,10)</f>
        <v>10.1.7.100</v>
      </c>
      <c r="G8" s="24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4" t="str">
        <f t="array" ref="F9">RIGHT(D9,10)</f>
        <v>10.1.8.100</v>
      </c>
      <c r="G9" s="24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4" t="str">
        <f t="array" ref="F10">RIGHT(D10,10)</f>
        <v>10.1.9.100</v>
      </c>
      <c r="G10" s="24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4" t="str">
        <f t="array" ref="F11">RIGHT(D11,10)</f>
        <v>0.1.10.100</v>
      </c>
      <c r="G11" s="24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4" t="str">
        <f t="array" ref="F12">RIGHT(D12,10)</f>
        <v>0.1.11.100</v>
      </c>
      <c r="G12" s="24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4" t="str">
        <f t="array" ref="F13">RIGHT(D13,10)</f>
        <v>0.1.12.100</v>
      </c>
      <c r="G13" s="24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4" t="str">
        <f t="array" ref="F14">RIGHT(D14,10)</f>
        <v>0.1.13.100</v>
      </c>
      <c r="G14" s="24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4" t="str">
        <f t="array" ref="F15">RIGHT(D15,10)</f>
        <v>0.1.14.100</v>
      </c>
      <c r="G15" s="24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4" t="str">
        <f t="array" ref="F16">RIGHT(D16,10)</f>
        <v>0.1.15.100</v>
      </c>
      <c r="G16" s="24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4" t="str">
        <f t="array" ref="F17">RIGHT(D17,10)</f>
        <v>0.1.16.100</v>
      </c>
      <c r="G17" s="24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4" t="str">
        <f t="array" ref="F18">RIGHT(D18,10)</f>
        <v>0.1.17.100</v>
      </c>
      <c r="G18" s="24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4" t="str">
        <f t="array" ref="F19">RIGHT(D19,10)</f>
        <v>0.1.18.100</v>
      </c>
      <c r="G19" s="24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4" t="str">
        <f t="array" ref="F20">RIGHT(D20,10)</f>
        <v>0.1.19.100</v>
      </c>
      <c r="G20" s="24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4" t="str">
        <f t="array" ref="F21">RIGHT(D21,10)</f>
        <v>0.1.20.100</v>
      </c>
      <c r="G21" s="24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4" t="str">
        <f t="array" ref="F22">RIGHT(D22,10)</f>
        <v>0.1.21.100</v>
      </c>
      <c r="G22" s="24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4" t="str">
        <f t="array" ref="F23">RIGHT(D23,10)</f>
        <v>0.1.22.100</v>
      </c>
      <c r="G23" s="24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4" t="str">
        <f t="array" ref="F24">RIGHT(D24,10)</f>
        <v>0.1.23.100</v>
      </c>
      <c r="G24" s="24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4" t="str">
        <f t="array" ref="F25">RIGHT(D25,10)</f>
        <v>0.1.24.100</v>
      </c>
      <c r="G25" s="24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4" t="str">
        <f t="array" ref="F26">RIGHT(D26,10)</f>
        <v>0.1.25.100</v>
      </c>
      <c r="G26" s="24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4" t="str">
        <f t="array" ref="F27">RIGHT(D27,10)</f>
        <v>0.1.26.100</v>
      </c>
      <c r="G27" s="24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4" t="str">
        <f t="array" ref="F28">RIGHT(D28,10)</f>
        <v>0.1.27.100</v>
      </c>
      <c r="G28" s="24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4" t="str">
        <f t="array" ref="F29">RIGHT(D29,10)</f>
        <v>0.1.28.100</v>
      </c>
      <c r="G29" s="24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4" t="str">
        <f t="array" ref="F30">RIGHT(D30,10)</f>
        <v>0.1.29.100</v>
      </c>
      <c r="G30" s="24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4" t="str">
        <f t="array" ref="F31">RIGHT(D31,10)</f>
        <v>0.1.30.100</v>
      </c>
      <c r="G31" s="24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4" t="str">
        <f t="array" ref="F32">RIGHT(D32,10)</f>
        <v>0.1.31.100</v>
      </c>
      <c r="G32" s="24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4" t="str">
        <f t="array" ref="F33">RIGHT(D33,10)</f>
        <v>0.1.32.100</v>
      </c>
      <c r="G33" s="24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4" t="str">
        <f t="array" ref="F34">RIGHT(D34,10)</f>
        <v>0.1.33.100</v>
      </c>
      <c r="G34" s="24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4" t="str">
        <f t="array" ref="F35">RIGHT(D35,10)</f>
        <v>0.1.34.100</v>
      </c>
      <c r="G35" s="24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4" t="str">
        <f t="array" ref="F36">RIGHT(D36,10)</f>
        <v>0.1.35.100</v>
      </c>
      <c r="G36" s="24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4" t="str">
        <f t="array" ref="F37">RIGHT(D37,10)</f>
        <v>0.1.36.100</v>
      </c>
      <c r="G37" s="24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4" t="str">
        <f t="array" ref="F38">RIGHT(D38,10)</f>
        <v>0.1.37.100</v>
      </c>
      <c r="G38" s="24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4" t="str">
        <f t="array" ref="F39">RIGHT(D39,10)</f>
        <v>0.1.38.100</v>
      </c>
      <c r="G39" s="24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4" t="str">
        <f t="array" ref="F40">RIGHT(D40,10)</f>
        <v>0.1.39.100</v>
      </c>
      <c r="G40" s="24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4" t="str">
        <f t="array" ref="F41">RIGHT(D41,10)</f>
        <v>0.1.40.100</v>
      </c>
      <c r="G41" s="24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4" t="str">
        <f t="array" ref="F42">RIGHT(D42,10)</f>
        <v>0.1.41.100</v>
      </c>
      <c r="G42" s="24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4" t="str">
        <f t="array" ref="F43">RIGHT(D43,10)</f>
        <v>0.1.42.100</v>
      </c>
      <c r="G43" s="24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4" t="str">
        <f t="array" ref="F44">RIGHT(D44,10)</f>
        <v>0.1.43.100</v>
      </c>
      <c r="G44" s="24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4" t="str">
        <f t="array" ref="F45">RIGHT(D45,10)</f>
        <v>0.1.44.100</v>
      </c>
      <c r="G45" s="24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4" t="str">
        <f t="array" ref="F46">RIGHT(D46,10)</f>
        <v>0.1.45.100</v>
      </c>
      <c r="G46" s="24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4" t="str">
        <f t="array" ref="F47">RIGHT(D47,10)</f>
        <v>0.1.46.100</v>
      </c>
      <c r="G47" s="24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4" t="str">
        <f t="array" ref="F48">RIGHT(D48,10)</f>
        <v>0.1.47.100</v>
      </c>
      <c r="G48" s="24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4" t="str">
        <f t="array" ref="F49">RIGHT(D49,10)</f>
        <v>0.1.48.100</v>
      </c>
      <c r="G49" s="24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6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D23" sqref="D23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H10" sqref="H10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5" max="5" width="10.90625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7" workbookViewId="0">
      <selection activeCell="H14" sqref="H14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60"/>
  <sheetViews>
    <sheetView tabSelected="1" topLeftCell="A7" zoomScale="61" zoomScaleNormal="100" workbookViewId="0">
      <selection activeCell="B6" sqref="B6:D6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9.1796875" style="20" customWidth="1"/>
    <col min="5" max="5" width="16.6328125" style="20" bestFit="1" customWidth="1"/>
    <col min="6" max="6" width="17.453125" style="2" bestFit="1" customWidth="1"/>
    <col min="7" max="7" width="25.54296875" customWidth="1"/>
    <col min="9" max="9" width="31.81640625" bestFit="1" customWidth="1"/>
    <col min="10" max="10" width="9.54296875" style="29" hidden="1" customWidth="1"/>
    <col min="11" max="11" width="11.26953125" style="29" hidden="1" customWidth="1"/>
    <col min="12" max="12" width="12.453125" style="29" hidden="1" customWidth="1"/>
    <col min="13" max="13" width="45.90625" style="29" hidden="1" customWidth="1"/>
    <col min="14" max="14" width="11.1796875" bestFit="1" customWidth="1"/>
    <col min="16" max="17" width="11.1796875" bestFit="1" customWidth="1"/>
    <col min="21" max="22" width="11.1796875" bestFit="1" customWidth="1"/>
  </cols>
  <sheetData>
    <row r="1" spans="2:13" x14ac:dyDescent="0.35">
      <c r="J1" s="25" t="s">
        <v>245</v>
      </c>
      <c r="K1" s="25" t="s">
        <v>246</v>
      </c>
      <c r="L1" s="26" t="s">
        <v>247</v>
      </c>
      <c r="M1" s="27" t="s">
        <v>248</v>
      </c>
    </row>
    <row r="2" spans="2:13" x14ac:dyDescent="0.35">
      <c r="J2" s="28" t="s">
        <v>234</v>
      </c>
      <c r="K2" s="28" t="str">
        <f t="array" ref="K2">IF($B$6="Linea_1",'L1'!G2:G49,IF($B$6="Linea_2",'L2'!G2:G38,IF($B$6="Linea_3",'L3'!G2:G39,IF($B$6="Linea_4",'L4'!G2:G5,IF($B$6="Linea_5",'L5'!G2:G52,IF($B$6="Linea_6",'L6'!G2:G38,IF($B$6="Linea_7",'L7'!G2:G28)))))))</f>
        <v>10.6.1.100</v>
      </c>
      <c r="L2" s="26" t="s">
        <v>241</v>
      </c>
      <c r="M2" s="27" t="s">
        <v>249</v>
      </c>
    </row>
    <row r="3" spans="2:13" x14ac:dyDescent="0.35">
      <c r="J3" s="28" t="s">
        <v>235</v>
      </c>
      <c r="K3" s="28" t="str">
        <f t="array" ref="K3">IF($B$6="Linea_1",'L1'!G3:G50,IF($B$6="Linea_2",'L2'!G3:G39,IF($B$6="Linea_3",'L3'!G3:G40,IF($B$6="Linea_4",'L4'!G3:G6,IF($B$6="Linea_5",'L5'!G3:G53,IF($B$6="Linea_6",'L6'!G3:G39,IF($B$6="Linea_7",'L7'!G3:G29)))))))</f>
        <v>10.6.2.100</v>
      </c>
      <c r="M3" s="30"/>
    </row>
    <row r="4" spans="2:13" x14ac:dyDescent="0.35">
      <c r="C4" t="s">
        <v>233</v>
      </c>
      <c r="J4" s="28" t="s">
        <v>236</v>
      </c>
      <c r="K4" s="28" t="str">
        <f t="array" ref="K4">IF($B$6="Linea_1",'L1'!G4:G51,IF($B$6="Linea_2",'L2'!G4:G40,IF($B$6="Linea_3",'L3'!G4:G41,IF($B$6="Linea_4",'L4'!G4:G7,IF($B$6="Linea_5",'L5'!G4:G54,IF($B$6="Linea_6",'L6'!G4:G40,IF($B$6="Linea_7",'L7'!G4:G30)))))))</f>
        <v>10.6.3.100</v>
      </c>
    </row>
    <row r="5" spans="2:13" x14ac:dyDescent="0.35">
      <c r="B5" s="46" t="s">
        <v>242</v>
      </c>
      <c r="C5" s="46"/>
      <c r="D5" s="46"/>
      <c r="E5" s="33"/>
      <c r="I5" s="33" t="s">
        <v>253</v>
      </c>
      <c r="J5" s="28" t="s">
        <v>237</v>
      </c>
      <c r="K5" s="28" t="str">
        <f t="array" ref="K5">IF($B$6="Linea_1",'L1'!G5:G52,IF($B$6="Linea_2",'L2'!G5:G41,IF($B$6="Linea_3",'L3'!G5:G42,IF($B$6="Linea_4",'L4'!G5:G8,IF($B$6="Linea_5",'L5'!G5:G55,IF($B$6="Linea_6",'L6'!G5:G41,IF($B$6="Linea_7",'L7'!G5:G31)))))))</f>
        <v>10.6.4.100</v>
      </c>
    </row>
    <row r="6" spans="2:13" x14ac:dyDescent="0.35">
      <c r="B6" s="45" t="s">
        <v>239</v>
      </c>
      <c r="C6" s="45"/>
      <c r="D6" s="45"/>
      <c r="E6"/>
      <c r="I6" s="38" t="s">
        <v>233</v>
      </c>
      <c r="J6" s="28" t="s">
        <v>238</v>
      </c>
      <c r="K6" s="28" t="str">
        <f t="array" ref="K6">IF($B$6="Linea_1",'L1'!G6:G53,IF($B$6="Linea_2",'L2'!G6:G42,IF($B$6="Linea_3",'L3'!G6:G43,IF($B$6="Linea_4",'L4'!G6:G9,IF($B$6="Linea_5",'L5'!G6:G56,IF($B$6="Linea_6",'L6'!G6:G42,IF($B$6="Linea_7",'L7'!G6:G32)))))))</f>
        <v>10.6.5.100</v>
      </c>
    </row>
    <row r="7" spans="2:13" x14ac:dyDescent="0.35">
      <c r="J7" s="28" t="s">
        <v>239</v>
      </c>
      <c r="K7" s="28" t="str">
        <f t="array" ref="K7">IF($B$6="Linea_1",'L1'!G7:G54,IF($B$6="Linea_2",'L2'!G7:G43,IF($B$6="Linea_3",'L3'!G7:G44,IF($B$6="Linea_4",'L4'!G7:G10,IF($B$6="Linea_5",'L5'!G7:G57,IF($B$6="Linea_6",'L6'!G7:G43,IF($B$6="Linea_7",'L7'!G7:G33)))))))</f>
        <v>10.6.6.100</v>
      </c>
    </row>
    <row r="8" spans="2:13" x14ac:dyDescent="0.35">
      <c r="B8" s="32" t="str" cm="1">
        <f t="array" aca="1" ref="B8:E45" ca="1">INDIRECT(B6)</f>
        <v>Linea</v>
      </c>
      <c r="C8" s="32" t="str">
        <f ca="1"/>
        <v>Número</v>
      </c>
      <c r="D8" s="32" t="str">
        <f ca="1"/>
        <v>Estación</v>
      </c>
      <c r="E8" s="32" t="str">
        <f ca="1"/>
        <v>IP</v>
      </c>
      <c r="F8" s="32" t="s">
        <v>250</v>
      </c>
      <c r="G8" s="31" t="s">
        <v>252</v>
      </c>
      <c r="I8" s="33" t="s">
        <v>254</v>
      </c>
      <c r="J8" s="28" t="s">
        <v>240</v>
      </c>
      <c r="K8" s="28" t="str">
        <f t="array" ref="K8">IF($B$6="Linea_1",'L1'!G8:G55,IF($B$6="Linea_2",'L2'!G8:G44,IF($B$6="Linea_3",'L3'!G8:G45,IF($B$6="Linea_4",'L4'!G8:G11,IF($B$6="Linea_5",'L5'!G8:G58,IF($B$6="Linea_6",'L6'!G8:G44,IF($B$6="Linea_7",'L7'!G8:G34)))))))</f>
        <v>10.6.7.100</v>
      </c>
    </row>
    <row r="9" spans="2:13" x14ac:dyDescent="0.35">
      <c r="B9" s="21">
        <f ca="1"/>
        <v>6</v>
      </c>
      <c r="C9" s="21">
        <f ca="1"/>
        <v>1</v>
      </c>
      <c r="D9" s="22" t="str">
        <f ca="1"/>
        <v>Villa de Aragón</v>
      </c>
      <c r="E9" s="22" t="str">
        <f ca="1"/>
        <v>http://10.6.1.100</v>
      </c>
      <c r="F9" s="34" t="s">
        <v>255</v>
      </c>
      <c r="G9" s="36" t="s">
        <v>256</v>
      </c>
      <c r="I9" s="38" t="str" cm="1">
        <f t="array" ref="I9">_xlfn.IFNA(IF(B6="Linea_1",_xlfn.XLOOKUP(I6,Tabla1[Estación],'L1'!G2:G49),IF(B6="Linea_2",_xlfn.XLOOKUP(I6,Tabla3[Estación],'L2'!G2:G38),IF(B6="Linea_3",_xlfn.XLOOKUP(I6,Tabla4[Estación],'L3'!G2:G39),IF(B6="Linea_4",_xlfn.XLOOKUP(I6,Tabla5[Estación],'L4'!G2:G5),IF(B6="Linea_5",_xlfn.XLOOKUP(I6,Tabla6[Estación],'L5'!G2:G52),IF(B6="Linea_6",_xlfn.XLOOKUP(I6,Tabla9[Estación],'L6'!G2:G38),IF(B6="Linea_7",_xlfn.XLOOKUP(I6,Tabla11[Estación],'L7'!G2:G28))))))))," ")</f>
        <v xml:space="preserve"> </v>
      </c>
      <c r="K9" s="28" t="str">
        <f t="array" ref="K9">IF($B$6="Linea_1",'L1'!G9:G56,IF($B$6="Linea_2",'L2'!G9:G45,IF($B$6="Linea_3",'L3'!G9:G46,IF($B$6="Linea_4",'L4'!G9:G12,IF($B$6="Linea_5",'L5'!G9:G59,IF($B$6="Linea_6",'L6'!G9:G45,IF($B$6="Linea_7",'L7'!G9:G35)))))))</f>
        <v>10.6.8.100</v>
      </c>
    </row>
    <row r="10" spans="2:13" x14ac:dyDescent="0.35">
      <c r="B10" s="21">
        <f ca="1"/>
        <v>6</v>
      </c>
      <c r="C10" s="21">
        <f ca="1"/>
        <v>2</v>
      </c>
      <c r="D10" s="22" t="str">
        <f ca="1"/>
        <v>Francisco Morazán</v>
      </c>
      <c r="E10" s="22" t="str">
        <f ca="1"/>
        <v>http://10.6.2.100</v>
      </c>
      <c r="F10" s="41" t="s">
        <v>251</v>
      </c>
      <c r="G10" s="42">
        <v>72.84</v>
      </c>
      <c r="I10" s="39"/>
      <c r="J10" s="43"/>
      <c r="K10" s="28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10.6.9.100</v>
      </c>
      <c r="M10" s="43"/>
    </row>
    <row r="11" spans="2:13" x14ac:dyDescent="0.35">
      <c r="B11" s="21">
        <f ca="1"/>
        <v>6</v>
      </c>
      <c r="C11" s="21">
        <f ca="1"/>
        <v>3</v>
      </c>
      <c r="D11" s="22" t="str">
        <f ca="1"/>
        <v>Colegio de Bachilleres 9</v>
      </c>
      <c r="E11" s="22" t="str">
        <f ca="1"/>
        <v>http://10.6.3.100</v>
      </c>
      <c r="F11" s="35" t="s">
        <v>251</v>
      </c>
      <c r="G11" s="37">
        <v>71.25</v>
      </c>
      <c r="K11" s="28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10.6.10.100</v>
      </c>
    </row>
    <row r="12" spans="2:13" x14ac:dyDescent="0.35">
      <c r="B12" s="21">
        <f ca="1"/>
        <v>6</v>
      </c>
      <c r="C12" s="21">
        <f ca="1"/>
        <v>4</v>
      </c>
      <c r="D12" s="22" t="str">
        <f ca="1"/>
        <v>La Pradera</v>
      </c>
      <c r="E12" s="22" t="str">
        <f ca="1"/>
        <v>http://10.6.4.100</v>
      </c>
      <c r="F12" s="35" t="s">
        <v>251</v>
      </c>
      <c r="G12" s="37">
        <v>71.290000000000006</v>
      </c>
      <c r="K12" s="28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10.6.11.100</v>
      </c>
    </row>
    <row r="13" spans="2:13" x14ac:dyDescent="0.35">
      <c r="B13" s="21">
        <f ca="1"/>
        <v>6</v>
      </c>
      <c r="C13" s="21">
        <f ca="1"/>
        <v>5</v>
      </c>
      <c r="D13" s="22" t="str">
        <f ca="1"/>
        <v>Volcán de Fuego</v>
      </c>
      <c r="E13" s="22" t="str">
        <f ca="1"/>
        <v>http://10.6.5.100</v>
      </c>
      <c r="F13" s="35" t="s">
        <v>251</v>
      </c>
      <c r="G13" s="37">
        <v>144.47</v>
      </c>
      <c r="K13" s="28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10.6.12.100</v>
      </c>
    </row>
    <row r="14" spans="2:13" x14ac:dyDescent="0.35">
      <c r="B14" s="21">
        <f ca="1"/>
        <v>6</v>
      </c>
      <c r="C14" s="21">
        <f ca="1"/>
        <v>6</v>
      </c>
      <c r="D14" s="22" t="str">
        <f ca="1"/>
        <v>Ampliación Providencia</v>
      </c>
      <c r="E14" s="22" t="str">
        <f ca="1"/>
        <v>http://10.6.6.100</v>
      </c>
      <c r="F14" s="35" t="s">
        <v>251</v>
      </c>
      <c r="G14" s="37">
        <v>76.349999999999994</v>
      </c>
      <c r="K14" s="28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10.6.13.100</v>
      </c>
    </row>
    <row r="15" spans="2:13" x14ac:dyDescent="0.35">
      <c r="B15" s="21">
        <f ca="1"/>
        <v>6</v>
      </c>
      <c r="C15" s="21">
        <f ca="1"/>
        <v>7</v>
      </c>
      <c r="D15" s="22" t="str">
        <f ca="1"/>
        <v>Deportivo los Galeana</v>
      </c>
      <c r="E15" s="22" t="str">
        <f ca="1"/>
        <v>http://10.6.7.100</v>
      </c>
      <c r="F15" s="35" t="s">
        <v>251</v>
      </c>
      <c r="G15" s="37">
        <v>71.92</v>
      </c>
      <c r="I15" s="44" t="str">
        <f>HYPERLINK(SUBSTITUTE(CONCATENATE("http://",I9),"",""),"Ir al sitio HIKVISION")</f>
        <v>Ir al sitio HIKVISION</v>
      </c>
      <c r="K15" s="28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10.6.14.100</v>
      </c>
    </row>
    <row r="16" spans="2:13" x14ac:dyDescent="0.35">
      <c r="B16" s="21">
        <f ca="1"/>
        <v>6</v>
      </c>
      <c r="C16" s="21">
        <f ca="1"/>
        <v>8</v>
      </c>
      <c r="D16" s="22" t="str">
        <f ca="1"/>
        <v xml:space="preserve">Av. 416 Poniente </v>
      </c>
      <c r="E16" s="22" t="str">
        <f ca="1"/>
        <v>http://10.6.8.100</v>
      </c>
      <c r="F16" s="35" t="s">
        <v>255</v>
      </c>
      <c r="G16" s="37" t="s">
        <v>256</v>
      </c>
      <c r="I16" s="40"/>
      <c r="K16" s="28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10.6.15.100</v>
      </c>
    </row>
    <row r="17" spans="2:11" x14ac:dyDescent="0.35">
      <c r="B17" s="21">
        <f ca="1"/>
        <v>6</v>
      </c>
      <c r="C17" s="21">
        <f ca="1"/>
        <v>9</v>
      </c>
      <c r="D17" s="22" t="str">
        <f ca="1"/>
        <v xml:space="preserve">Av. 416 Oriente </v>
      </c>
      <c r="E17" s="22" t="str">
        <f ca="1"/>
        <v>http://10.6.9.100</v>
      </c>
      <c r="F17" s="35" t="s">
        <v>251</v>
      </c>
      <c r="G17" s="37">
        <v>72.42</v>
      </c>
      <c r="I17" s="40"/>
      <c r="K17" s="28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10.6.16.100</v>
      </c>
    </row>
    <row r="18" spans="2:11" x14ac:dyDescent="0.35">
      <c r="B18" s="21">
        <f ca="1"/>
        <v>6</v>
      </c>
      <c r="C18" s="21">
        <f ca="1"/>
        <v>10</v>
      </c>
      <c r="D18" s="22" t="str">
        <f ca="1"/>
        <v>Av. 414</v>
      </c>
      <c r="E18" s="22" t="str">
        <f ca="1"/>
        <v>http://10.6.10.100</v>
      </c>
      <c r="F18" s="35" t="s">
        <v>251</v>
      </c>
      <c r="G18" s="37">
        <v>69.53</v>
      </c>
      <c r="K18" s="28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10.6.17.100</v>
      </c>
    </row>
    <row r="19" spans="2:11" x14ac:dyDescent="0.35">
      <c r="B19" s="21">
        <f ca="1"/>
        <v>6</v>
      </c>
      <c r="C19" s="21">
        <f ca="1"/>
        <v>11</v>
      </c>
      <c r="D19" s="22" t="str">
        <f ca="1"/>
        <v>Av. 482</v>
      </c>
      <c r="E19" s="22" t="str">
        <f ca="1"/>
        <v>http://10.6.11.100</v>
      </c>
      <c r="F19" s="35" t="s">
        <v>251</v>
      </c>
      <c r="G19" s="37">
        <v>74.09</v>
      </c>
      <c r="K19" s="28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10.6.18.100</v>
      </c>
    </row>
    <row r="20" spans="2:11" x14ac:dyDescent="0.35">
      <c r="B20" s="21">
        <f ca="1"/>
        <v>6</v>
      </c>
      <c r="C20" s="21">
        <f ca="1"/>
        <v>12</v>
      </c>
      <c r="D20" s="22" t="str">
        <f ca="1"/>
        <v>Loreto Fabela</v>
      </c>
      <c r="E20" s="22" t="str">
        <f ca="1"/>
        <v>http://10.6.12.100</v>
      </c>
      <c r="F20" s="35" t="s">
        <v>255</v>
      </c>
      <c r="G20" s="37" t="s">
        <v>256</v>
      </c>
      <c r="K20" s="28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10.6.19.100</v>
      </c>
    </row>
    <row r="21" spans="2:11" x14ac:dyDescent="0.35">
      <c r="B21" s="21">
        <f ca="1"/>
        <v>6</v>
      </c>
      <c r="C21" s="21">
        <f ca="1"/>
        <v>13</v>
      </c>
      <c r="D21" s="22" t="str">
        <f ca="1"/>
        <v>Pueblo San Juan de Aragón</v>
      </c>
      <c r="E21" s="22" t="str">
        <f ca="1"/>
        <v>http://10.6.13.100</v>
      </c>
      <c r="F21" s="35" t="s">
        <v>251</v>
      </c>
      <c r="G21" s="37">
        <v>72.540000000000006</v>
      </c>
      <c r="K21" s="28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10.6.20.100</v>
      </c>
    </row>
    <row r="22" spans="2:11" x14ac:dyDescent="0.35">
      <c r="B22" s="21">
        <f ca="1"/>
        <v>6</v>
      </c>
      <c r="C22" s="21">
        <f ca="1"/>
        <v>14</v>
      </c>
      <c r="D22" s="22" t="str">
        <f ca="1"/>
        <v>Casas Alemán</v>
      </c>
      <c r="E22" s="22" t="str">
        <f ca="1"/>
        <v>http://10.6.14.100</v>
      </c>
      <c r="F22" s="35" t="s">
        <v>251</v>
      </c>
      <c r="G22" s="37">
        <v>72.959999999999994</v>
      </c>
      <c r="K22" s="28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10.6.21.100</v>
      </c>
    </row>
    <row r="23" spans="2:11" x14ac:dyDescent="0.35">
      <c r="B23" s="21">
        <f ca="1"/>
        <v>6</v>
      </c>
      <c r="C23" s="21">
        <f ca="1"/>
        <v>15</v>
      </c>
      <c r="D23" s="22" t="str">
        <f ca="1"/>
        <v>Gran Canal</v>
      </c>
      <c r="E23" s="22" t="str">
        <f ca="1"/>
        <v>http://10.6.15.100</v>
      </c>
      <c r="F23" s="35" t="s">
        <v>251</v>
      </c>
      <c r="G23" s="37">
        <v>96.44</v>
      </c>
      <c r="K23" s="28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10.6.22.100</v>
      </c>
    </row>
    <row r="24" spans="2:11" x14ac:dyDescent="0.35">
      <c r="B24" s="21">
        <f ca="1"/>
        <v>6</v>
      </c>
      <c r="C24" s="21">
        <f ca="1"/>
        <v>16</v>
      </c>
      <c r="D24" s="22" t="str">
        <f ca="1"/>
        <v>San Juan de Aragón</v>
      </c>
      <c r="E24" s="22" t="str">
        <f ca="1"/>
        <v>http://10.6.16.100</v>
      </c>
      <c r="F24" s="35" t="s">
        <v>251</v>
      </c>
      <c r="G24" s="37">
        <v>71.14</v>
      </c>
      <c r="K24" s="28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10.6.23.100</v>
      </c>
    </row>
    <row r="25" spans="2:11" x14ac:dyDescent="0.35">
      <c r="B25" s="21">
        <f ca="1"/>
        <v>6</v>
      </c>
      <c r="C25" s="21">
        <f ca="1"/>
        <v>17</v>
      </c>
      <c r="D25" s="22" t="str">
        <f ca="1"/>
        <v>Hospital General La Villa</v>
      </c>
      <c r="E25" s="22" t="str">
        <f ca="1"/>
        <v>http://10.6.17.100</v>
      </c>
      <c r="F25" s="35" t="s">
        <v>251</v>
      </c>
      <c r="G25" s="37">
        <v>92.12</v>
      </c>
      <c r="K25" s="28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10.6.24.100</v>
      </c>
    </row>
    <row r="26" spans="2:11" x14ac:dyDescent="0.35">
      <c r="B26" s="21">
        <f ca="1"/>
        <v>6</v>
      </c>
      <c r="C26" s="21">
        <f ca="1"/>
        <v>18</v>
      </c>
      <c r="D26" s="22" t="str">
        <f ca="1"/>
        <v>Martín Carrera</v>
      </c>
      <c r="E26" s="22" t="str">
        <f ca="1"/>
        <v>http://10.6.18.100</v>
      </c>
      <c r="F26" s="35" t="s">
        <v>251</v>
      </c>
      <c r="G26" s="37">
        <v>71.31</v>
      </c>
      <c r="K26" s="28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10.6.25.100</v>
      </c>
    </row>
    <row r="27" spans="2:11" x14ac:dyDescent="0.35">
      <c r="B27" s="21">
        <f ca="1"/>
        <v>6</v>
      </c>
      <c r="C27" s="21">
        <f ca="1"/>
        <v>19</v>
      </c>
      <c r="D27" s="22" t="str">
        <f ca="1"/>
        <v>Delegación GAM</v>
      </c>
      <c r="E27" s="22" t="str">
        <f ca="1"/>
        <v>http://10.6.19.100</v>
      </c>
      <c r="F27" s="35" t="s">
        <v>251</v>
      </c>
      <c r="G27" s="37">
        <v>104.9</v>
      </c>
      <c r="K27" s="28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10.6.26.100</v>
      </c>
    </row>
    <row r="28" spans="2:11" x14ac:dyDescent="0.35">
      <c r="B28" s="21">
        <f ca="1"/>
        <v>6</v>
      </c>
      <c r="C28" s="21">
        <f ca="1"/>
        <v>20</v>
      </c>
      <c r="D28" s="22" t="str">
        <f ca="1"/>
        <v>Hospital Infantil La Villa</v>
      </c>
      <c r="E28" s="22" t="str">
        <f ca="1"/>
        <v>http://10.6.20.100</v>
      </c>
      <c r="F28" s="35" t="s">
        <v>251</v>
      </c>
      <c r="G28" s="37">
        <v>112.07</v>
      </c>
      <c r="K28" s="28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10.6.27.100</v>
      </c>
    </row>
    <row r="29" spans="2:11" x14ac:dyDescent="0.35">
      <c r="B29" s="21">
        <f ca="1"/>
        <v>6</v>
      </c>
      <c r="C29" s="21">
        <f ca="1"/>
        <v>21</v>
      </c>
      <c r="D29" s="22" t="str">
        <f ca="1"/>
        <v>De los Misterios</v>
      </c>
      <c r="E29" s="22" t="str">
        <f ca="1"/>
        <v>http://10.6.21.100</v>
      </c>
      <c r="F29" s="35" t="s">
        <v>255</v>
      </c>
      <c r="G29" s="37" t="s">
        <v>256</v>
      </c>
      <c r="K29" s="28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10.6.28.100</v>
      </c>
    </row>
    <row r="30" spans="2:11" x14ac:dyDescent="0.35">
      <c r="B30" s="21">
        <f ca="1"/>
        <v>6</v>
      </c>
      <c r="C30" s="21">
        <f ca="1"/>
        <v>22</v>
      </c>
      <c r="D30" s="22" t="str">
        <f ca="1"/>
        <v>La Villa</v>
      </c>
      <c r="E30" s="22" t="str">
        <f ca="1"/>
        <v>http://10.6.22.100</v>
      </c>
      <c r="F30" s="35" t="s">
        <v>251</v>
      </c>
      <c r="G30" s="37">
        <v>103.6</v>
      </c>
      <c r="K30" s="28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10.6.29.100</v>
      </c>
    </row>
    <row r="31" spans="2:11" x14ac:dyDescent="0.35">
      <c r="B31" s="21">
        <f ca="1"/>
        <v>6</v>
      </c>
      <c r="C31" s="21">
        <f ca="1"/>
        <v>23</v>
      </c>
      <c r="D31" s="22" t="str">
        <f ca="1"/>
        <v>Deportivo 18 de Marzo</v>
      </c>
      <c r="E31" s="22" t="str">
        <f ca="1"/>
        <v>http://10.6.23.100</v>
      </c>
      <c r="F31" s="35" t="s">
        <v>251</v>
      </c>
      <c r="G31" s="37">
        <v>99.91</v>
      </c>
      <c r="K31" s="28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10.6.30.100</v>
      </c>
    </row>
    <row r="32" spans="2:11" x14ac:dyDescent="0.35">
      <c r="B32" s="21">
        <f ca="1"/>
        <v>6</v>
      </c>
      <c r="C32" s="21">
        <f ca="1"/>
        <v>24</v>
      </c>
      <c r="D32" s="22" t="str">
        <f ca="1"/>
        <v>Río Bamba</v>
      </c>
      <c r="E32" s="22" t="str">
        <f ca="1"/>
        <v>http://10.6.24.100</v>
      </c>
      <c r="F32" s="35" t="s">
        <v>255</v>
      </c>
      <c r="G32" s="37" t="s">
        <v>256</v>
      </c>
      <c r="K32" s="28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10.6.31.100</v>
      </c>
    </row>
    <row r="33" spans="2:11" x14ac:dyDescent="0.35">
      <c r="B33" s="21">
        <f ca="1"/>
        <v>6</v>
      </c>
      <c r="C33" s="21">
        <f ca="1"/>
        <v>25</v>
      </c>
      <c r="D33" s="22" t="str">
        <f ca="1"/>
        <v>IPN</v>
      </c>
      <c r="E33" s="22" t="str">
        <f ca="1"/>
        <v>http://10.6.25.100</v>
      </c>
      <c r="F33" s="35" t="s">
        <v>255</v>
      </c>
      <c r="G33" s="37" t="s">
        <v>256</v>
      </c>
      <c r="K33" s="28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10.6.32.100</v>
      </c>
    </row>
    <row r="34" spans="2:11" x14ac:dyDescent="0.35">
      <c r="B34" s="21">
        <f ca="1"/>
        <v>6</v>
      </c>
      <c r="C34" s="21">
        <f ca="1"/>
        <v>26</v>
      </c>
      <c r="D34" s="22" t="str">
        <f ca="1"/>
        <v>San Bartolo</v>
      </c>
      <c r="E34" s="22" t="str">
        <f ca="1"/>
        <v>http://10.6.26.100</v>
      </c>
      <c r="F34" s="35" t="s">
        <v>255</v>
      </c>
      <c r="G34" s="37" t="s">
        <v>256</v>
      </c>
      <c r="K34" s="28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10.6.33.100</v>
      </c>
    </row>
    <row r="35" spans="2:11" x14ac:dyDescent="0.35">
      <c r="B35" s="21">
        <f ca="1"/>
        <v>6</v>
      </c>
      <c r="C35" s="21">
        <f ca="1"/>
        <v>27</v>
      </c>
      <c r="D35" s="22" t="str">
        <f ca="1"/>
        <v>Instituto del Petróleo</v>
      </c>
      <c r="E35" s="22" t="str">
        <f ca="1"/>
        <v>http://10.6.27.100</v>
      </c>
      <c r="F35" s="35" t="s">
        <v>255</v>
      </c>
      <c r="G35" s="37" t="s">
        <v>256</v>
      </c>
      <c r="K35" s="28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10.6.34.100</v>
      </c>
    </row>
    <row r="36" spans="2:11" x14ac:dyDescent="0.35">
      <c r="B36" s="21">
        <f ca="1"/>
        <v>6</v>
      </c>
      <c r="C36" s="21">
        <f ca="1"/>
        <v>28</v>
      </c>
      <c r="D36" s="22" t="str">
        <f ca="1"/>
        <v>Lindavista-Vallejo</v>
      </c>
      <c r="E36" s="22" t="str">
        <f ca="1"/>
        <v>http://10.6.28.100</v>
      </c>
      <c r="F36" s="35" t="s">
        <v>251</v>
      </c>
      <c r="G36" s="37">
        <v>163.57</v>
      </c>
      <c r="K36" s="28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10.6.35.100</v>
      </c>
    </row>
    <row r="37" spans="2:11" x14ac:dyDescent="0.35">
      <c r="B37" s="21">
        <f ca="1"/>
        <v>6</v>
      </c>
      <c r="C37" s="21">
        <f ca="1"/>
        <v>29</v>
      </c>
      <c r="D37" s="22" t="str">
        <f ca="1"/>
        <v>Montevideo</v>
      </c>
      <c r="E37" s="22" t="str">
        <f ca="1"/>
        <v>http://10.6.29.100</v>
      </c>
      <c r="F37" s="35" t="s">
        <v>251</v>
      </c>
      <c r="G37" s="37">
        <v>98.12</v>
      </c>
      <c r="K37" s="28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10.6.36.100</v>
      </c>
    </row>
    <row r="38" spans="2:11" x14ac:dyDescent="0.35">
      <c r="B38" s="21">
        <f ca="1"/>
        <v>6</v>
      </c>
      <c r="C38" s="21">
        <f ca="1"/>
        <v>30</v>
      </c>
      <c r="D38" s="22" t="str">
        <f ca="1"/>
        <v>Norte 45</v>
      </c>
      <c r="E38" s="22" t="str">
        <f ca="1"/>
        <v>http://10.6.30.100</v>
      </c>
      <c r="F38" s="35" t="s">
        <v>251</v>
      </c>
      <c r="G38" s="37">
        <v>149.63</v>
      </c>
      <c r="K38" s="28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10.6.37.100</v>
      </c>
    </row>
    <row r="39" spans="2:11" x14ac:dyDescent="0.35">
      <c r="B39" s="21">
        <f ca="1"/>
        <v>6</v>
      </c>
      <c r="C39" s="21">
        <f ca="1"/>
        <v>31</v>
      </c>
      <c r="D39" s="22" t="str">
        <f ca="1"/>
        <v>Norte 59</v>
      </c>
      <c r="E39" s="22" t="str">
        <f ca="1"/>
        <v>http://10.6.31.100</v>
      </c>
      <c r="F39" s="35" t="s">
        <v>251</v>
      </c>
      <c r="G39" s="37">
        <v>96.99</v>
      </c>
      <c r="K39" s="28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1">
        <f ca="1"/>
        <v>6</v>
      </c>
      <c r="C40" s="21">
        <f ca="1"/>
        <v>32</v>
      </c>
      <c r="D40" s="22" t="str">
        <f ca="1"/>
        <v>Tecnoparque</v>
      </c>
      <c r="E40" s="22" t="str">
        <f ca="1"/>
        <v>http://10.6.32.100</v>
      </c>
      <c r="F40" s="35" t="s">
        <v>251</v>
      </c>
      <c r="G40" s="37">
        <v>172.35</v>
      </c>
      <c r="K40" s="28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1">
        <f ca="1"/>
        <v>6</v>
      </c>
      <c r="C41" s="21">
        <f ca="1"/>
        <v>33</v>
      </c>
      <c r="D41" s="22" t="str">
        <f ca="1"/>
        <v>UAM Azcapotzalco</v>
      </c>
      <c r="E41" s="22" t="str">
        <f ca="1"/>
        <v>http://10.6.33.100</v>
      </c>
      <c r="F41" s="35" t="s">
        <v>251</v>
      </c>
      <c r="G41" s="37">
        <v>98.86</v>
      </c>
      <c r="K41" s="28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1">
        <f ca="1"/>
        <v>6</v>
      </c>
      <c r="C42" s="21">
        <f ca="1"/>
        <v>34</v>
      </c>
      <c r="D42" s="22" t="str">
        <f ca="1"/>
        <v>Ferrocarriles Nacionales</v>
      </c>
      <c r="E42" s="22" t="str">
        <f ca="1"/>
        <v>http://10.6.34.100</v>
      </c>
      <c r="F42" s="35" t="s">
        <v>251</v>
      </c>
      <c r="G42" s="37">
        <v>102.47</v>
      </c>
      <c r="K42" s="28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1">
        <f ca="1"/>
        <v>6</v>
      </c>
      <c r="C43" s="21">
        <f ca="1"/>
        <v>35</v>
      </c>
      <c r="D43" s="22" t="str">
        <f ca="1"/>
        <v>De las Culturas</v>
      </c>
      <c r="E43" s="22" t="str">
        <f ca="1"/>
        <v>http://10.6.35.100</v>
      </c>
      <c r="F43" s="35" t="s">
        <v>251</v>
      </c>
      <c r="G43" s="37">
        <v>71.959999999999994</v>
      </c>
      <c r="K43" s="28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1">
        <f ca="1"/>
        <v>6</v>
      </c>
      <c r="C44" s="21">
        <f ca="1"/>
        <v>36</v>
      </c>
      <c r="D44" s="22" t="str">
        <f ca="1"/>
        <v>Colegio de Bachilleres 1</v>
      </c>
      <c r="E44" s="22" t="str">
        <f ca="1"/>
        <v>http://10.6.36.100</v>
      </c>
      <c r="F44" s="35" t="s">
        <v>251</v>
      </c>
      <c r="G44" s="37">
        <v>72.39</v>
      </c>
      <c r="K44" s="28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1">
        <f ca="1"/>
        <v>6</v>
      </c>
      <c r="C45" s="21">
        <f ca="1"/>
        <v>37</v>
      </c>
      <c r="D45" s="22" t="str">
        <f ca="1"/>
        <v>El Rosario</v>
      </c>
      <c r="E45" s="22" t="str">
        <f ca="1"/>
        <v>http://10.6.37.100</v>
      </c>
      <c r="F45" s="35" t="s">
        <v>251</v>
      </c>
      <c r="G45" s="37">
        <v>148.27000000000001</v>
      </c>
      <c r="K45" s="28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1"/>
      <c r="C46" s="21"/>
      <c r="D46" s="22"/>
      <c r="E46" s="22"/>
      <c r="F46" s="35" t="s">
        <v>233</v>
      </c>
      <c r="G46" s="37" t="s">
        <v>233</v>
      </c>
      <c r="K46" s="28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1"/>
      <c r="C47" s="21"/>
      <c r="D47" s="22"/>
      <c r="E47" s="22"/>
      <c r="F47" s="35" t="s">
        <v>233</v>
      </c>
      <c r="G47" s="37" t="s">
        <v>233</v>
      </c>
      <c r="K47" s="28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1"/>
      <c r="C48" s="21"/>
      <c r="D48" s="22"/>
      <c r="E48" s="22"/>
      <c r="F48" s="35" t="s">
        <v>233</v>
      </c>
      <c r="G48" s="37" t="s">
        <v>233</v>
      </c>
      <c r="K48" s="28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1"/>
      <c r="C49" s="21"/>
      <c r="D49" s="22"/>
      <c r="E49" s="22"/>
      <c r="F49" s="35" t="s">
        <v>233</v>
      </c>
      <c r="G49" s="37" t="s">
        <v>233</v>
      </c>
      <c r="K49" s="28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1"/>
      <c r="C50" s="21"/>
      <c r="D50" s="22"/>
      <c r="E50" s="22"/>
      <c r="F50" s="35" t="s">
        <v>233</v>
      </c>
      <c r="G50" s="37" t="s">
        <v>233</v>
      </c>
      <c r="K50" s="28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1"/>
      <c r="C51" s="21"/>
      <c r="D51" s="22"/>
      <c r="E51" s="22"/>
      <c r="F51" s="35" t="s">
        <v>233</v>
      </c>
      <c r="G51" s="37" t="s">
        <v>233</v>
      </c>
      <c r="K51" s="28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1"/>
      <c r="C52" s="21"/>
      <c r="D52" s="22"/>
      <c r="E52" s="22"/>
      <c r="F52" s="35" t="s">
        <v>233</v>
      </c>
      <c r="G52" s="37" t="s">
        <v>233</v>
      </c>
      <c r="K52" s="28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1"/>
      <c r="C53" s="21"/>
      <c r="D53" s="22"/>
      <c r="E53" s="22"/>
      <c r="F53" s="35" t="s">
        <v>233</v>
      </c>
      <c r="G53" s="37" t="s">
        <v>233</v>
      </c>
    </row>
    <row r="54" spans="2:11" x14ac:dyDescent="0.35">
      <c r="B54" s="21"/>
      <c r="C54" s="21"/>
      <c r="D54" s="22"/>
      <c r="E54" s="22"/>
      <c r="F54" s="35" t="s">
        <v>233</v>
      </c>
      <c r="G54" s="37" t="s">
        <v>233</v>
      </c>
    </row>
    <row r="55" spans="2:11" x14ac:dyDescent="0.35">
      <c r="B55" s="21"/>
      <c r="C55" s="21"/>
      <c r="D55" s="22"/>
      <c r="E55" s="22"/>
      <c r="F55" s="35" t="s">
        <v>233</v>
      </c>
      <c r="G55" s="37" t="s">
        <v>233</v>
      </c>
    </row>
    <row r="56" spans="2:11" x14ac:dyDescent="0.35">
      <c r="B56" s="21"/>
      <c r="C56" s="21"/>
      <c r="D56" s="22"/>
      <c r="E56" s="22"/>
      <c r="F56" s="35" t="s">
        <v>233</v>
      </c>
      <c r="G56" s="37" t="s">
        <v>233</v>
      </c>
    </row>
    <row r="57" spans="2:11" x14ac:dyDescent="0.35">
      <c r="B57" s="21"/>
      <c r="C57" s="21"/>
      <c r="D57" s="22"/>
      <c r="E57" s="22"/>
      <c r="F57" s="35" t="s">
        <v>233</v>
      </c>
      <c r="G57" s="37" t="s">
        <v>233</v>
      </c>
    </row>
    <row r="58" spans="2:11" x14ac:dyDescent="0.35">
      <c r="B58" s="21"/>
      <c r="C58" s="21"/>
      <c r="D58" s="22"/>
      <c r="E58" s="22"/>
      <c r="F58" s="35" t="s">
        <v>233</v>
      </c>
      <c r="G58" s="37" t="s">
        <v>233</v>
      </c>
    </row>
    <row r="59" spans="2:11" x14ac:dyDescent="0.35">
      <c r="B59" s="21"/>
      <c r="C59" s="21"/>
      <c r="D59" s="22"/>
      <c r="E59" s="22"/>
      <c r="F59" s="35" t="s">
        <v>233</v>
      </c>
      <c r="G59" s="37" t="s">
        <v>233</v>
      </c>
    </row>
    <row r="60" spans="2:11" x14ac:dyDescent="0.35">
      <c r="B60" s="21"/>
      <c r="C60" s="21"/>
      <c r="D60" s="22"/>
      <c r="E60" s="22"/>
      <c r="F60" s="35" t="s">
        <v>233</v>
      </c>
      <c r="G60" s="37" t="s">
        <v>233</v>
      </c>
    </row>
  </sheetData>
  <mergeCells count="2">
    <mergeCell ref="B6:D6"/>
    <mergeCell ref="B5:D5"/>
  </mergeCells>
  <phoneticPr fontId="2" type="noConversion"/>
  <conditionalFormatting sqref="F9">
    <cfRule type="expression" dxfId="22" priority="26">
      <formula>"Desconectado"</formula>
    </cfRule>
  </conditionalFormatting>
  <conditionalFormatting sqref="F9:F60">
    <cfRule type="cellIs" dxfId="21" priority="20" operator="equal">
      <formula>"[ERROR]"</formula>
    </cfRule>
    <cfRule type="cellIs" dxfId="20" priority="21" operator="equal">
      <formula>"[OK]"</formula>
    </cfRule>
    <cfRule type="cellIs" dxfId="19" priority="22" operator="equal">
      <formula>"INESTABLE"</formula>
    </cfRule>
    <cfRule type="cellIs" dxfId="18" priority="23" operator="equal">
      <formula>"ESTABLE"</formula>
    </cfRule>
    <cfRule type="cellIs" dxfId="17" priority="24" operator="equal">
      <formula>"Conectado"</formula>
    </cfRule>
    <cfRule type="cellIs" dxfId="16" priority="25" operator="equal">
      <formula>"Desconectado"</formula>
    </cfRule>
  </conditionalFormatting>
  <conditionalFormatting sqref="G9:G60">
    <cfRule type="cellIs" dxfId="15" priority="7" operator="equal">
      <formula>" "</formula>
    </cfRule>
    <cfRule type="cellIs" dxfId="14" priority="8" operator="equal">
      <formula>"DOWN"</formula>
    </cfRule>
    <cfRule type="cellIs" dxfId="13" priority="9" operator="greaterThan">
      <formula>0</formula>
    </cfRule>
    <cfRule type="cellIs" dxfId="12" priority="10" operator="equal">
      <formula>"DOWN"</formula>
    </cfRule>
    <cfRule type="cellIs" dxfId="11" priority="11" operator="lessThan">
      <formula>100</formula>
    </cfRule>
    <cfRule type="cellIs" dxfId="10" priority="12" operator="greaterThan">
      <formula>100</formula>
    </cfRule>
    <cfRule type="cellIs" dxfId="9" priority="13" operator="greaterThan">
      <formula>100</formula>
    </cfRule>
    <cfRule type="cellIs" dxfId="8" priority="14" operator="greaterThan">
      <formula>90</formula>
    </cfRule>
    <cfRule type="cellIs" dxfId="7" priority="15" operator="equal">
      <formula>""" """</formula>
    </cfRule>
    <cfRule type="cellIs" dxfId="6" priority="17" operator="equal">
      <formula>"SLOW"</formula>
    </cfRule>
    <cfRule type="cellIs" dxfId="5" priority="18" operator="lessThan">
      <formula>90</formula>
    </cfRule>
    <cfRule type="cellIs" dxfId="4" priority="19" operator="greaterThan">
      <formula>100</formula>
    </cfRule>
    <cfRule type="cellIs" dxfId="3" priority="4" operator="lessThan">
      <formula>200</formula>
    </cfRule>
    <cfRule type="cellIs" dxfId="2" priority="3" operator="between">
      <formula>201</formula>
      <formula>500</formula>
    </cfRule>
    <cfRule type="cellIs" dxfId="1" priority="2" operator="greaterThan">
      <formula>500</formula>
    </cfRule>
    <cfRule type="cellIs" dxfId="0" priority="1" operator="equal">
      <formula>" "</formula>
    </cfRule>
  </conditionalFormatting>
  <conditionalFormatting sqref="B6:D6">
    <cfRule type="expression" priority="16">
      <formula>IF($K$2:$K$52,CLEARCONTENT)</formula>
    </cfRule>
  </conditionalFormatting>
  <conditionalFormatting sqref="I6">
    <cfRule type="expression" priority="6">
      <formula>IF($K$2:$K$52,CLEARCONTENT)</formula>
    </cfRule>
  </conditionalFormatting>
  <conditionalFormatting sqref="I9">
    <cfRule type="expression" priority="5">
      <formula>IF($K$2:$K$52,CLEARCONTENT)</formula>
    </cfRule>
  </conditionalFormatting>
  <dataValidations count="2">
    <dataValidation type="list" allowBlank="1" showInputMessage="1" showErrorMessage="1" sqref="B6" xr:uid="{1BE4CD0C-89FE-451B-B21B-95E0713A8A70}">
      <formula1>MB</formula1>
    </dataValidation>
    <dataValidation type="list" allowBlank="1" showInputMessage="1" showErrorMessage="1" sqref="I6" xr:uid="{C847E14F-0688-4F7A-8642-A7E688E46102}">
      <formula1>INDIRECT(CONCATENATE(SUBSTITUTE(B6," "," "),"_Estacion"))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6</xdr:col>
                    <xdr:colOff>323850</xdr:colOff>
                    <xdr:row>3</xdr:row>
                    <xdr:rowOff>139700</xdr:rowOff>
                  </from>
                  <to>
                    <xdr:col>6</xdr:col>
                    <xdr:colOff>1778000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rTXT_IP1">
                <anchor moveWithCells="1" sizeWithCells="1">
                  <from>
                    <xdr:col>8</xdr:col>
                    <xdr:colOff>469900</xdr:colOff>
                    <xdr:row>11</xdr:row>
                    <xdr:rowOff>12700</xdr:rowOff>
                  </from>
                  <to>
                    <xdr:col>8</xdr:col>
                    <xdr:colOff>1752600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15</vt:i4>
      </vt:variant>
    </vt:vector>
  </HeadingPairs>
  <TitlesOfParts>
    <vt:vector size="23" baseType="lpstr">
      <vt:lpstr>L1</vt:lpstr>
      <vt:lpstr>L2</vt:lpstr>
      <vt:lpstr>L3</vt:lpstr>
      <vt:lpstr>L4</vt:lpstr>
      <vt:lpstr>L5</vt:lpstr>
      <vt:lpstr>L6</vt:lpstr>
      <vt:lpstr>L7</vt:lpstr>
      <vt:lpstr>Multiping</vt:lpstr>
      <vt:lpstr>Linea_1</vt:lpstr>
      <vt:lpstr>Linea_1_Estacion</vt:lpstr>
      <vt:lpstr>Linea_2</vt:lpstr>
      <vt:lpstr>Linea_2_Estacion</vt:lpstr>
      <vt:lpstr>Linea_3</vt:lpstr>
      <vt:lpstr>Linea_3_Estacion</vt:lpstr>
      <vt:lpstr>Linea_4</vt:lpstr>
      <vt:lpstr>Linea_4_Estacion</vt:lpstr>
      <vt:lpstr>Linea_5</vt:lpstr>
      <vt:lpstr>Linea_5_Estacion</vt:lpstr>
      <vt:lpstr>Linea_6</vt:lpstr>
      <vt:lpstr>Linea_6_Estacion</vt:lpstr>
      <vt:lpstr>Linea_7</vt:lpstr>
      <vt:lpstr>Linea_7_Estacion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2023-09-27T00:20:49Z</dcterms:modified>
</cp:coreProperties>
</file>