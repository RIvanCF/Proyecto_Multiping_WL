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ector Melchor\Documents\Proyectos python WL\Proto_multiping\"/>
    </mc:Choice>
  </mc:AlternateContent>
  <xr:revisionPtr revIDLastSave="0" documentId="13_ncr:1_{8F4D4A9F-0069-4A69-8C2B-9E2A7C0A8494}" xr6:coauthVersionLast="47" xr6:coauthVersionMax="47" xr10:uidLastSave="{00000000-0000-0000-0000-000000000000}"/>
  <bookViews>
    <workbookView xWindow="-110" yWindow="-110" windowWidth="19420" windowHeight="11020" firstSheet="2" activeTab="7" xr2:uid="{C1CE16DF-397C-4992-9D8C-939511FF425C}"/>
  </bookViews>
  <sheets>
    <sheet name="L1" sheetId="2" r:id="rId1"/>
    <sheet name="L2" sheetId="1" r:id="rId2"/>
    <sheet name="L3" sheetId="3" r:id="rId3"/>
    <sheet name="L4" sheetId="4" r:id="rId4"/>
    <sheet name="L5" sheetId="5" r:id="rId5"/>
    <sheet name="L6" sheetId="12" r:id="rId6"/>
    <sheet name="L7" sheetId="14" r:id="rId7"/>
    <sheet name="Hoja1" sheetId="18" r:id="rId8"/>
  </sheets>
  <definedNames>
    <definedName name="Linea_1">Tabla1[#All]</definedName>
    <definedName name="Linea_2">Tabla3[#All]</definedName>
    <definedName name="Linea_3">Tabla4[#All]</definedName>
    <definedName name="Linea_4">Tabla5[#All]</definedName>
    <definedName name="Linea_5">Tabla6[#All]</definedName>
    <definedName name="Linea_6">Tabla9[#All]</definedName>
    <definedName name="Linea_7">Tabla11[#All]</definedName>
    <definedName name="MB">Hoja1!$J$2:$J$8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0" i="14" l="1"/>
  <c r="D2" i="14"/>
  <c r="D3" i="14"/>
  <c r="D4" i="14"/>
  <c r="D5" i="14"/>
  <c r="D6" i="14"/>
  <c r="D7" i="14"/>
  <c r="F7" i="14" s="1"/>
  <c r="G7" i="14" s="1" a="1"/>
  <c r="G7" i="14" s="1"/>
  <c r="D8" i="14"/>
  <c r="D9" i="14"/>
  <c r="F9" i="14" s="1"/>
  <c r="G9" i="14" s="1" a="1"/>
  <c r="G9" i="14" s="1"/>
  <c r="D10" i="14"/>
  <c r="D11" i="14"/>
  <c r="D12" i="14"/>
  <c r="D13" i="14"/>
  <c r="F13" i="14" s="1"/>
  <c r="G13" i="14" s="1" a="1"/>
  <c r="G13" i="14" s="1"/>
  <c r="D14" i="14"/>
  <c r="D15" i="14"/>
  <c r="D16" i="14"/>
  <c r="D17" i="14"/>
  <c r="D18" i="14"/>
  <c r="D19" i="14"/>
  <c r="D21" i="14"/>
  <c r="F21" i="14" s="1"/>
  <c r="G21" i="14" s="1" a="1"/>
  <c r="G21" i="14" s="1"/>
  <c r="D22" i="14"/>
  <c r="F22" i="14" s="1"/>
  <c r="G22" i="14" s="1" a="1"/>
  <c r="G22" i="14" s="1"/>
  <c r="D23" i="14"/>
  <c r="F23" i="14" s="1"/>
  <c r="G23" i="14" s="1" a="1"/>
  <c r="G23" i="14" s="1"/>
  <c r="D24" i="14"/>
  <c r="D25" i="14"/>
  <c r="F25" i="14" s="1"/>
  <c r="G25" i="14" s="1" a="1"/>
  <c r="G25" i="14" s="1"/>
  <c r="D26" i="14"/>
  <c r="D27" i="14"/>
  <c r="D28" i="14"/>
  <c r="F3" i="14"/>
  <c r="G3" i="14" s="1" a="1"/>
  <c r="G3" i="14" s="1"/>
  <c r="F6" i="14"/>
  <c r="G6" i="14" s="1" a="1"/>
  <c r="G6" i="14" s="1"/>
  <c r="F15" i="14"/>
  <c r="G15" i="14" s="1" a="1"/>
  <c r="G15" i="14" s="1"/>
  <c r="F17" i="14"/>
  <c r="G17" i="14" s="1" a="1"/>
  <c r="G17" i="14" s="1"/>
  <c r="F10" i="14"/>
  <c r="G10" i="14" s="1" a="1"/>
  <c r="G10" i="14" s="1"/>
  <c r="F11" i="14"/>
  <c r="G11" i="14" s="1" a="1"/>
  <c r="G11" i="14" s="1"/>
  <c r="F14" i="14"/>
  <c r="G14" i="14" s="1" a="1"/>
  <c r="G14" i="14" s="1"/>
  <c r="F19" i="14"/>
  <c r="G19" i="14" s="1" a="1"/>
  <c r="G19" i="14" s="1"/>
  <c r="K46" i="18" a="1"/>
  <c r="K46" i="18" s="1"/>
  <c r="K47" i="18" a="1"/>
  <c r="K47" i="18" s="1"/>
  <c r="K48" i="18" a="1"/>
  <c r="K48" i="18" s="1"/>
  <c r="K49" i="18" a="1"/>
  <c r="K49" i="18" s="1"/>
  <c r="K50" i="18" a="1"/>
  <c r="K50" i="18" s="1"/>
  <c r="K51" i="18" a="1"/>
  <c r="K51" i="18" s="1"/>
  <c r="K52" i="18" a="1"/>
  <c r="K52" i="18" s="1"/>
  <c r="K3" i="18" a="1"/>
  <c r="K3" i="18" s="1"/>
  <c r="K4" i="18" a="1"/>
  <c r="K4" i="18" s="1"/>
  <c r="K5" i="18" a="1"/>
  <c r="K5" i="18" s="1"/>
  <c r="K6" i="18" a="1"/>
  <c r="K6" i="18"/>
  <c r="K7" i="18" a="1"/>
  <c r="K7" i="18" s="1"/>
  <c r="K8" i="18" a="1"/>
  <c r="K8" i="18" s="1"/>
  <c r="K9" i="18" a="1"/>
  <c r="K9" i="18" s="1"/>
  <c r="K10" i="18" a="1"/>
  <c r="K10" i="18" s="1"/>
  <c r="K11" i="18" a="1"/>
  <c r="K11" i="18" s="1"/>
  <c r="K12" i="18" a="1"/>
  <c r="K12" i="18" s="1"/>
  <c r="K13" i="18" a="1"/>
  <c r="K13" i="18" s="1"/>
  <c r="K14" i="18" a="1"/>
  <c r="K14" i="18" s="1"/>
  <c r="K15" i="18" a="1"/>
  <c r="K15" i="18" s="1"/>
  <c r="K16" i="18" a="1"/>
  <c r="K16" i="18" s="1"/>
  <c r="K17" i="18" a="1"/>
  <c r="K17" i="18" s="1"/>
  <c r="K18" i="18" a="1"/>
  <c r="K18" i="18" s="1"/>
  <c r="K19" i="18" a="1"/>
  <c r="K19" i="18" s="1"/>
  <c r="K20" i="18" a="1"/>
  <c r="K20" i="18" s="1"/>
  <c r="K21" i="18" a="1"/>
  <c r="K21" i="18" s="1"/>
  <c r="K22" i="18" a="1"/>
  <c r="K22" i="18" s="1"/>
  <c r="K23" i="18" a="1"/>
  <c r="K23" i="18" s="1"/>
  <c r="K24" i="18" a="1"/>
  <c r="K24" i="18" s="1"/>
  <c r="K25" i="18" a="1"/>
  <c r="K25" i="18" s="1"/>
  <c r="K26" i="18" a="1"/>
  <c r="K26" i="18" s="1"/>
  <c r="K27" i="18" a="1"/>
  <c r="K27" i="18" s="1"/>
  <c r="K28" i="18" a="1"/>
  <c r="K28" i="18" s="1"/>
  <c r="K29" i="18" a="1"/>
  <c r="K29" i="18" s="1"/>
  <c r="K30" i="18" a="1"/>
  <c r="K30" i="18" s="1"/>
  <c r="K31" i="18" a="1"/>
  <c r="K31" i="18" s="1"/>
  <c r="K32" i="18" a="1"/>
  <c r="K32" i="18" s="1"/>
  <c r="K33" i="18" a="1"/>
  <c r="K33" i="18" s="1"/>
  <c r="K34" i="18" a="1"/>
  <c r="K34" i="18" s="1"/>
  <c r="K35" i="18" a="1"/>
  <c r="K35" i="18" s="1"/>
  <c r="K36" i="18" a="1"/>
  <c r="K36" i="18" s="1"/>
  <c r="K37" i="18" a="1"/>
  <c r="K37" i="18" s="1"/>
  <c r="K38" i="18" a="1"/>
  <c r="K38" i="18" s="1"/>
  <c r="K39" i="18" a="1"/>
  <c r="K39" i="18" s="1"/>
  <c r="K40" i="18" a="1"/>
  <c r="K40" i="18" s="1"/>
  <c r="K41" i="18" a="1"/>
  <c r="K41" i="18" s="1"/>
  <c r="K42" i="18" a="1"/>
  <c r="K42" i="18" s="1"/>
  <c r="K43" i="18" a="1"/>
  <c r="K43" i="18" s="1"/>
  <c r="K44" i="18" a="1"/>
  <c r="K44" i="18" s="1"/>
  <c r="K45" i="18" a="1"/>
  <c r="K45" i="18" s="1"/>
  <c r="K2" i="18" a="1"/>
  <c r="K2" i="18" s="1"/>
  <c r="F3" i="14" a="1"/>
  <c r="F4" i="14" a="1"/>
  <c r="F5" i="14" a="1"/>
  <c r="F5" i="14"/>
  <c r="G5" i="14" s="1" a="1"/>
  <c r="G5" i="14" s="1"/>
  <c r="F6" i="14" a="1"/>
  <c r="F7" i="14" a="1"/>
  <c r="F8" i="14" a="1"/>
  <c r="F9" i="14" a="1"/>
  <c r="F10" i="14" a="1"/>
  <c r="F11" i="14" a="1"/>
  <c r="F12" i="14" a="1"/>
  <c r="F13" i="14" a="1"/>
  <c r="F14" i="14" a="1"/>
  <c r="F15" i="14" a="1"/>
  <c r="F16" i="14" a="1"/>
  <c r="F17" i="14" a="1"/>
  <c r="F18" i="14" a="1"/>
  <c r="F18" i="14"/>
  <c r="G18" i="14" s="1" a="1"/>
  <c r="G18" i="14" s="1"/>
  <c r="F19" i="14" a="1"/>
  <c r="F20" i="14" a="1"/>
  <c r="F21" i="14" a="1"/>
  <c r="F22" i="14" a="1"/>
  <c r="F23" i="14" a="1"/>
  <c r="F24" i="14" a="1"/>
  <c r="F25" i="14" a="1"/>
  <c r="F26" i="14" a="1"/>
  <c r="F26" i="14"/>
  <c r="G26" i="14" s="1" a="1"/>
  <c r="G26" i="14" s="1"/>
  <c r="F27" i="14" a="1"/>
  <c r="F27" i="14"/>
  <c r="G27" i="14" s="1" a="1"/>
  <c r="G27" i="14" s="1"/>
  <c r="F28" i="14" a="1"/>
  <c r="F2" i="14" a="1"/>
  <c r="G3" i="12" a="1"/>
  <c r="G3" i="12"/>
  <c r="G4" i="12" a="1"/>
  <c r="G4" i="12" s="1"/>
  <c r="G5" i="12" a="1"/>
  <c r="G5" i="12" s="1"/>
  <c r="G6" i="12" a="1"/>
  <c r="G6" i="12"/>
  <c r="G7" i="12" a="1"/>
  <c r="G7" i="12"/>
  <c r="G8" i="12" a="1"/>
  <c r="G8" i="12" s="1"/>
  <c r="G9" i="12" a="1"/>
  <c r="G9" i="12" s="1"/>
  <c r="G10" i="12" a="1"/>
  <c r="G10" i="12"/>
  <c r="G11" i="12" a="1"/>
  <c r="G11" i="12"/>
  <c r="G12" i="12" a="1"/>
  <c r="G12" i="12" s="1"/>
  <c r="G13" i="12" a="1"/>
  <c r="G13" i="12" s="1"/>
  <c r="G14" i="12" a="1"/>
  <c r="G14" i="12"/>
  <c r="G15" i="12" a="1"/>
  <c r="G15" i="12"/>
  <c r="G16" i="12" a="1"/>
  <c r="G16" i="12" s="1"/>
  <c r="G17" i="12" a="1"/>
  <c r="G17" i="12" s="1"/>
  <c r="G18" i="12" a="1"/>
  <c r="G18" i="12"/>
  <c r="G19" i="12" a="1"/>
  <c r="G19" i="12"/>
  <c r="G20" i="12" a="1"/>
  <c r="G20" i="12" s="1"/>
  <c r="G21" i="12" a="1"/>
  <c r="G21" i="12" s="1"/>
  <c r="G22" i="12" a="1"/>
  <c r="G22" i="12"/>
  <c r="G23" i="12" a="1"/>
  <c r="G23" i="12"/>
  <c r="G24" i="12" a="1"/>
  <c r="G24" i="12" s="1"/>
  <c r="G25" i="12" a="1"/>
  <c r="G25" i="12" s="1"/>
  <c r="G26" i="12" a="1"/>
  <c r="G26" i="12"/>
  <c r="G27" i="12" a="1"/>
  <c r="G27" i="12"/>
  <c r="G28" i="12" a="1"/>
  <c r="G28" i="12" s="1"/>
  <c r="G29" i="12" a="1"/>
  <c r="G29" i="12" s="1"/>
  <c r="G30" i="12" a="1"/>
  <c r="G30" i="12"/>
  <c r="G31" i="12" a="1"/>
  <c r="G31" i="12"/>
  <c r="G32" i="12" a="1"/>
  <c r="G32" i="12" s="1"/>
  <c r="G33" i="12" a="1"/>
  <c r="G33" i="12" s="1"/>
  <c r="G34" i="12" a="1"/>
  <c r="G34" i="12"/>
  <c r="G35" i="12" a="1"/>
  <c r="G35" i="12"/>
  <c r="G36" i="12" a="1"/>
  <c r="G36" i="12" s="1"/>
  <c r="G37" i="12" a="1"/>
  <c r="G37" i="12" s="1"/>
  <c r="G38" i="12" a="1"/>
  <c r="G38" i="12"/>
  <c r="G2" i="12" a="1"/>
  <c r="G2" i="12" s="1"/>
  <c r="F3" i="12" a="1"/>
  <c r="F3" i="12"/>
  <c r="F4" i="12" a="1"/>
  <c r="F4" i="12" s="1"/>
  <c r="F5" i="12" a="1"/>
  <c r="F5" i="12"/>
  <c r="F6" i="12" a="1"/>
  <c r="F6" i="12"/>
  <c r="F7" i="12" a="1"/>
  <c r="F7" i="12"/>
  <c r="F8" i="12" a="1"/>
  <c r="F8" i="12" s="1"/>
  <c r="F9" i="12" a="1"/>
  <c r="F9" i="12"/>
  <c r="F10" i="12" a="1"/>
  <c r="F10" i="12"/>
  <c r="F11" i="12" a="1"/>
  <c r="F11" i="12"/>
  <c r="F12" i="12" a="1"/>
  <c r="F12" i="12" s="1"/>
  <c r="F13" i="12" a="1"/>
  <c r="F13" i="12"/>
  <c r="F14" i="12" a="1"/>
  <c r="F14" i="12"/>
  <c r="F15" i="12" a="1"/>
  <c r="F15" i="12"/>
  <c r="F16" i="12" a="1"/>
  <c r="F16" i="12" s="1"/>
  <c r="F17" i="12" a="1"/>
  <c r="F17" i="12"/>
  <c r="F18" i="12" a="1"/>
  <c r="F18" i="12"/>
  <c r="F19" i="12" a="1"/>
  <c r="F19" i="12"/>
  <c r="F20" i="12" a="1"/>
  <c r="F20" i="12" s="1"/>
  <c r="F21" i="12" a="1"/>
  <c r="F21" i="12"/>
  <c r="F22" i="12" a="1"/>
  <c r="F22" i="12"/>
  <c r="F23" i="12" a="1"/>
  <c r="F23" i="12"/>
  <c r="F24" i="12" a="1"/>
  <c r="F24" i="12" s="1"/>
  <c r="F25" i="12" a="1"/>
  <c r="F25" i="12"/>
  <c r="F26" i="12" a="1"/>
  <c r="F26" i="12"/>
  <c r="F27" i="12" a="1"/>
  <c r="F27" i="12"/>
  <c r="F28" i="12" a="1"/>
  <c r="F28" i="12" s="1"/>
  <c r="F29" i="12" a="1"/>
  <c r="F29" i="12"/>
  <c r="F30" i="12" a="1"/>
  <c r="F30" i="12"/>
  <c r="F31" i="12" a="1"/>
  <c r="F31" i="12"/>
  <c r="F32" i="12" a="1"/>
  <c r="F32" i="12" s="1"/>
  <c r="F33" i="12" a="1"/>
  <c r="F33" i="12"/>
  <c r="F34" i="12" a="1"/>
  <c r="F34" i="12"/>
  <c r="F35" i="12" a="1"/>
  <c r="F35" i="12"/>
  <c r="F36" i="12" a="1"/>
  <c r="F36" i="12" s="1"/>
  <c r="F37" i="12" a="1"/>
  <c r="F37" i="12"/>
  <c r="F38" i="12" a="1"/>
  <c r="F38" i="12"/>
  <c r="F2" i="12" a="1"/>
  <c r="F2" i="12" s="1"/>
  <c r="G3" i="5" a="1"/>
  <c r="G3" i="5"/>
  <c r="G4" i="5" a="1"/>
  <c r="G4" i="5" s="1"/>
  <c r="G5" i="5" a="1"/>
  <c r="G5" i="5"/>
  <c r="G6" i="5" a="1"/>
  <c r="G6" i="5"/>
  <c r="G7" i="5" a="1"/>
  <c r="G7" i="5"/>
  <c r="G8" i="5" a="1"/>
  <c r="G8" i="5" s="1"/>
  <c r="G9" i="5" a="1"/>
  <c r="G9" i="5"/>
  <c r="G10" i="5" a="1"/>
  <c r="G10" i="5"/>
  <c r="G11" i="5" a="1"/>
  <c r="G11" i="5"/>
  <c r="G12" i="5" a="1"/>
  <c r="G12" i="5" s="1"/>
  <c r="G13" i="5" a="1"/>
  <c r="G13" i="5"/>
  <c r="G14" i="5" a="1"/>
  <c r="G14" i="5"/>
  <c r="G15" i="5" a="1"/>
  <c r="G15" i="5"/>
  <c r="G16" i="5" a="1"/>
  <c r="G16" i="5" s="1"/>
  <c r="G17" i="5" a="1"/>
  <c r="G17" i="5"/>
  <c r="G18" i="5" a="1"/>
  <c r="G18" i="5"/>
  <c r="G19" i="5" a="1"/>
  <c r="G19" i="5"/>
  <c r="G20" i="5" a="1"/>
  <c r="G20" i="5" s="1"/>
  <c r="G21" i="5" a="1"/>
  <c r="G21" i="5"/>
  <c r="G22" i="5" a="1"/>
  <c r="G22" i="5"/>
  <c r="G23" i="5" a="1"/>
  <c r="G23" i="5"/>
  <c r="G24" i="5" a="1"/>
  <c r="G24" i="5" s="1"/>
  <c r="G25" i="5" a="1"/>
  <c r="G25" i="5"/>
  <c r="G26" i="5" a="1"/>
  <c r="G26" i="5"/>
  <c r="G27" i="5" a="1"/>
  <c r="G27" i="5"/>
  <c r="G28" i="5" a="1"/>
  <c r="G28" i="5" s="1"/>
  <c r="G29" i="5" a="1"/>
  <c r="G29" i="5"/>
  <c r="G30" i="5" a="1"/>
  <c r="G30" i="5"/>
  <c r="G31" i="5" a="1"/>
  <c r="G31" i="5"/>
  <c r="G32" i="5" a="1"/>
  <c r="G32" i="5" s="1"/>
  <c r="G33" i="5" a="1"/>
  <c r="G33" i="5"/>
  <c r="G34" i="5" a="1"/>
  <c r="G34" i="5"/>
  <c r="G35" i="5" a="1"/>
  <c r="G35" i="5"/>
  <c r="G36" i="5" a="1"/>
  <c r="G36" i="5" s="1"/>
  <c r="G37" i="5" a="1"/>
  <c r="G37" i="5"/>
  <c r="G38" i="5" a="1"/>
  <c r="G38" i="5"/>
  <c r="G39" i="5" a="1"/>
  <c r="G39" i="5"/>
  <c r="G40" i="5" a="1"/>
  <c r="G40" i="5" s="1"/>
  <c r="G41" i="5" a="1"/>
  <c r="G41" i="5"/>
  <c r="G42" i="5" a="1"/>
  <c r="G42" i="5"/>
  <c r="G43" i="5" a="1"/>
  <c r="G43" i="5"/>
  <c r="G44" i="5" a="1"/>
  <c r="G44" i="5" s="1"/>
  <c r="G45" i="5" a="1"/>
  <c r="G45" i="5"/>
  <c r="G46" i="5" a="1"/>
  <c r="G46" i="5"/>
  <c r="G47" i="5" a="1"/>
  <c r="G47" i="5"/>
  <c r="G48" i="5" a="1"/>
  <c r="G48" i="5" s="1"/>
  <c r="G49" i="5" a="1"/>
  <c r="G49" i="5"/>
  <c r="G50" i="5" a="1"/>
  <c r="G50" i="5"/>
  <c r="G51" i="5" a="1"/>
  <c r="G51" i="5"/>
  <c r="G52" i="5" a="1"/>
  <c r="G52" i="5" s="1"/>
  <c r="F3" i="5" a="1"/>
  <c r="F3" i="5"/>
  <c r="F4" i="5" a="1"/>
  <c r="F4" i="5"/>
  <c r="F5" i="5" a="1"/>
  <c r="F5" i="5" s="1"/>
  <c r="F6" i="5" a="1"/>
  <c r="F6" i="5"/>
  <c r="F7" i="5" a="1"/>
  <c r="F7" i="5"/>
  <c r="F8" i="5" a="1"/>
  <c r="F8" i="5"/>
  <c r="F9" i="5" a="1"/>
  <c r="F9" i="5" s="1"/>
  <c r="F10" i="5" a="1"/>
  <c r="F10" i="5"/>
  <c r="F11" i="5" a="1"/>
  <c r="F11" i="5"/>
  <c r="F12" i="5" a="1"/>
  <c r="F12" i="5"/>
  <c r="F13" i="5" a="1"/>
  <c r="F13" i="5" s="1"/>
  <c r="F14" i="5" a="1"/>
  <c r="F14" i="5"/>
  <c r="F15" i="5" a="1"/>
  <c r="F15" i="5"/>
  <c r="F16" i="5" a="1"/>
  <c r="F16" i="5"/>
  <c r="F17" i="5" a="1"/>
  <c r="F17" i="5" s="1"/>
  <c r="F18" i="5" a="1"/>
  <c r="F18" i="5"/>
  <c r="F19" i="5" a="1"/>
  <c r="F19" i="5"/>
  <c r="F20" i="5" a="1"/>
  <c r="F20" i="5"/>
  <c r="F21" i="5" a="1"/>
  <c r="F21" i="5" s="1"/>
  <c r="F22" i="5" a="1"/>
  <c r="F22" i="5"/>
  <c r="F23" i="5" a="1"/>
  <c r="F23" i="5"/>
  <c r="F24" i="5" a="1"/>
  <c r="F24" i="5"/>
  <c r="F25" i="5" a="1"/>
  <c r="F25" i="5" s="1"/>
  <c r="F26" i="5" a="1"/>
  <c r="F26" i="5"/>
  <c r="F27" i="5" a="1"/>
  <c r="F27" i="5"/>
  <c r="F28" i="5" a="1"/>
  <c r="F28" i="5"/>
  <c r="F29" i="5" a="1"/>
  <c r="F29" i="5" s="1"/>
  <c r="F30" i="5" a="1"/>
  <c r="F30" i="5"/>
  <c r="F31" i="5" a="1"/>
  <c r="F31" i="5"/>
  <c r="F32" i="5" a="1"/>
  <c r="F32" i="5" s="1"/>
  <c r="F33" i="5" a="1"/>
  <c r="F33" i="5" s="1"/>
  <c r="F34" i="5" a="1"/>
  <c r="F34" i="5"/>
  <c r="F35" i="5" a="1"/>
  <c r="F35" i="5"/>
  <c r="F36" i="5" a="1"/>
  <c r="F36" i="5"/>
  <c r="F37" i="5" a="1"/>
  <c r="F37" i="5" s="1"/>
  <c r="F38" i="5" a="1"/>
  <c r="F38" i="5"/>
  <c r="F39" i="5" a="1"/>
  <c r="F39" i="5"/>
  <c r="F40" i="5" a="1"/>
  <c r="F40" i="5"/>
  <c r="F41" i="5" a="1"/>
  <c r="F41" i="5" s="1"/>
  <c r="F42" i="5" a="1"/>
  <c r="F42" i="5"/>
  <c r="F43" i="5" a="1"/>
  <c r="F43" i="5"/>
  <c r="F44" i="5" a="1"/>
  <c r="F44" i="5"/>
  <c r="F45" i="5" a="1"/>
  <c r="F45" i="5" s="1"/>
  <c r="F46" i="5" a="1"/>
  <c r="F46" i="5"/>
  <c r="F47" i="5" a="1"/>
  <c r="F47" i="5"/>
  <c r="F48" i="5" a="1"/>
  <c r="F48" i="5"/>
  <c r="F49" i="5" a="1"/>
  <c r="F49" i="5" s="1"/>
  <c r="F50" i="5" a="1"/>
  <c r="F50" i="5"/>
  <c r="F51" i="5" a="1"/>
  <c r="F51" i="5"/>
  <c r="F52" i="5" a="1"/>
  <c r="F52" i="5"/>
  <c r="F2" i="5" a="1"/>
  <c r="F2" i="5" s="1"/>
  <c r="G2" i="5" s="1" a="1"/>
  <c r="G2" i="5" s="1"/>
  <c r="G3" i="4" a="1"/>
  <c r="G3" i="4"/>
  <c r="G4" i="4" a="1"/>
  <c r="G4" i="4"/>
  <c r="G5" i="4" a="1"/>
  <c r="G5" i="4"/>
  <c r="G2" i="4" a="1"/>
  <c r="G2" i="4" s="1"/>
  <c r="F3" i="4" a="1"/>
  <c r="F3" i="4" s="1"/>
  <c r="F4" i="4" a="1"/>
  <c r="F4" i="4" s="1"/>
  <c r="F5" i="4" a="1"/>
  <c r="F5" i="4" s="1"/>
  <c r="F2" i="4" a="1"/>
  <c r="F2" i="4" s="1"/>
  <c r="G3" i="3" a="1"/>
  <c r="G3" i="3"/>
  <c r="G4" i="3" a="1"/>
  <c r="G4" i="3" s="1"/>
  <c r="G5" i="3" a="1"/>
  <c r="G5" i="3"/>
  <c r="G6" i="3" a="1"/>
  <c r="G6" i="3"/>
  <c r="G7" i="3" a="1"/>
  <c r="G7" i="3"/>
  <c r="G8" i="3" a="1"/>
  <c r="G8" i="3" s="1"/>
  <c r="G9" i="3" a="1"/>
  <c r="G9" i="3"/>
  <c r="G10" i="3" a="1"/>
  <c r="G10" i="3"/>
  <c r="G11" i="3" a="1"/>
  <c r="G11" i="3"/>
  <c r="G12" i="3" a="1"/>
  <c r="G12" i="3" s="1"/>
  <c r="G13" i="3" a="1"/>
  <c r="G13" i="3"/>
  <c r="G14" i="3" a="1"/>
  <c r="G14" i="3"/>
  <c r="G15" i="3" a="1"/>
  <c r="G15" i="3"/>
  <c r="G16" i="3" a="1"/>
  <c r="G16" i="3" s="1"/>
  <c r="G17" i="3" a="1"/>
  <c r="G17" i="3"/>
  <c r="G18" i="3" a="1"/>
  <c r="G18" i="3"/>
  <c r="G19" i="3" a="1"/>
  <c r="G19" i="3"/>
  <c r="G20" i="3" a="1"/>
  <c r="G20" i="3" s="1"/>
  <c r="G21" i="3" a="1"/>
  <c r="G21" i="3" s="1"/>
  <c r="G22" i="3" a="1"/>
  <c r="G22" i="3"/>
  <c r="G23" i="3" a="1"/>
  <c r="G23" i="3"/>
  <c r="G24" i="3" a="1"/>
  <c r="G24" i="3" s="1"/>
  <c r="G25" i="3" a="1"/>
  <c r="G25" i="3" s="1"/>
  <c r="G26" i="3" a="1"/>
  <c r="G26" i="3"/>
  <c r="G27" i="3" a="1"/>
  <c r="G27" i="3" s="1"/>
  <c r="G28" i="3" a="1"/>
  <c r="G28" i="3" s="1"/>
  <c r="G29" i="3" a="1"/>
  <c r="G29" i="3" s="1"/>
  <c r="G30" i="3" a="1"/>
  <c r="G30" i="3"/>
  <c r="G31" i="3" a="1"/>
  <c r="G31" i="3"/>
  <c r="G32" i="3" a="1"/>
  <c r="G32" i="3" s="1"/>
  <c r="G33" i="3" a="1"/>
  <c r="G33" i="3" s="1"/>
  <c r="G34" i="3" a="1"/>
  <c r="G34" i="3"/>
  <c r="G35" i="3" a="1"/>
  <c r="G35" i="3"/>
  <c r="G36" i="3" a="1"/>
  <c r="G36" i="3" s="1"/>
  <c r="G37" i="3" a="1"/>
  <c r="G37" i="3" s="1"/>
  <c r="G38" i="3" a="1"/>
  <c r="G38" i="3"/>
  <c r="G39" i="3" a="1"/>
  <c r="G39" i="3"/>
  <c r="F3" i="3" a="1"/>
  <c r="F3" i="3"/>
  <c r="F4" i="3" a="1"/>
  <c r="F4" i="3" s="1"/>
  <c r="F5" i="3" a="1"/>
  <c r="F5" i="3"/>
  <c r="F6" i="3" a="1"/>
  <c r="F6" i="3"/>
  <c r="F7" i="3" a="1"/>
  <c r="F7" i="3"/>
  <c r="F8" i="3" a="1"/>
  <c r="F8" i="3" s="1"/>
  <c r="F9" i="3" a="1"/>
  <c r="F9" i="3"/>
  <c r="F10" i="3" a="1"/>
  <c r="F10" i="3"/>
  <c r="F11" i="3" a="1"/>
  <c r="F11" i="3"/>
  <c r="F12" i="3" a="1"/>
  <c r="F12" i="3" s="1"/>
  <c r="F13" i="3" a="1"/>
  <c r="F13" i="3"/>
  <c r="F14" i="3" a="1"/>
  <c r="F14" i="3"/>
  <c r="F15" i="3" a="1"/>
  <c r="F15" i="3"/>
  <c r="F16" i="3" a="1"/>
  <c r="F16" i="3" s="1"/>
  <c r="F17" i="3" a="1"/>
  <c r="F17" i="3"/>
  <c r="F18" i="3" a="1"/>
  <c r="F18" i="3"/>
  <c r="F19" i="3" a="1"/>
  <c r="F19" i="3"/>
  <c r="F20" i="3" a="1"/>
  <c r="F20" i="3" s="1"/>
  <c r="F21" i="3" a="1"/>
  <c r="F21" i="3"/>
  <c r="F22" i="3" a="1"/>
  <c r="F22" i="3"/>
  <c r="F23" i="3" a="1"/>
  <c r="F23" i="3"/>
  <c r="F24" i="3" a="1"/>
  <c r="F24" i="3" s="1"/>
  <c r="F25" i="3" a="1"/>
  <c r="F25" i="3"/>
  <c r="F26" i="3" a="1"/>
  <c r="F26" i="3"/>
  <c r="F27" i="3" a="1"/>
  <c r="F27" i="3"/>
  <c r="F28" i="3" a="1"/>
  <c r="F28" i="3" s="1"/>
  <c r="F29" i="3" a="1"/>
  <c r="F29" i="3"/>
  <c r="F30" i="3" a="1"/>
  <c r="F30" i="3"/>
  <c r="F31" i="3" a="1"/>
  <c r="F31" i="3"/>
  <c r="F32" i="3" a="1"/>
  <c r="F32" i="3" s="1"/>
  <c r="F33" i="3" a="1"/>
  <c r="F33" i="3"/>
  <c r="F34" i="3" a="1"/>
  <c r="F34" i="3"/>
  <c r="F35" i="3" a="1"/>
  <c r="F35" i="3"/>
  <c r="F36" i="3" a="1"/>
  <c r="F36" i="3" s="1"/>
  <c r="F37" i="3" a="1"/>
  <c r="F37" i="3"/>
  <c r="F38" i="3" a="1"/>
  <c r="F38" i="3"/>
  <c r="F39" i="3" a="1"/>
  <c r="F39" i="3"/>
  <c r="F2" i="3" a="1"/>
  <c r="F2" i="3" s="1"/>
  <c r="G2" i="3" s="1" a="1"/>
  <c r="G2" i="3" s="1"/>
  <c r="F3" i="1" a="1"/>
  <c r="F3" i="1"/>
  <c r="G3" i="1" s="1" a="1"/>
  <c r="G3" i="1" s="1"/>
  <c r="F4" i="1" a="1"/>
  <c r="F4" i="1"/>
  <c r="F5" i="1" a="1"/>
  <c r="F5" i="1"/>
  <c r="F6" i="1" a="1"/>
  <c r="F6" i="1"/>
  <c r="F7" i="1" a="1"/>
  <c r="F7" i="1"/>
  <c r="G7" i="1" s="1" a="1"/>
  <c r="G7" i="1" s="1"/>
  <c r="F8" i="1" a="1"/>
  <c r="F8" i="1"/>
  <c r="G8" i="1" s="1" a="1"/>
  <c r="G8" i="1" s="1"/>
  <c r="F9" i="1" a="1"/>
  <c r="F9" i="1"/>
  <c r="F10" i="1" a="1"/>
  <c r="F10" i="1"/>
  <c r="F11" i="1" a="1"/>
  <c r="F11" i="1"/>
  <c r="G11" i="1" s="1" a="1"/>
  <c r="G11" i="1" s="1"/>
  <c r="F12" i="1" a="1"/>
  <c r="F12" i="1"/>
  <c r="G12" i="1" s="1" a="1"/>
  <c r="G12" i="1" s="1"/>
  <c r="F13" i="1" a="1"/>
  <c r="F13" i="1"/>
  <c r="F14" i="1" a="1"/>
  <c r="F14" i="1"/>
  <c r="F15" i="1" a="1"/>
  <c r="F15" i="1"/>
  <c r="F16" i="1" a="1"/>
  <c r="F16" i="1"/>
  <c r="G16" i="1" s="1" a="1"/>
  <c r="G16" i="1" s="1"/>
  <c r="F17" i="1" a="1"/>
  <c r="F17" i="1"/>
  <c r="F18" i="1" a="1"/>
  <c r="F18" i="1"/>
  <c r="F19" i="1" a="1"/>
  <c r="F19" i="1"/>
  <c r="G19" i="1" s="1" a="1"/>
  <c r="G19" i="1" s="1"/>
  <c r="F20" i="1" a="1"/>
  <c r="F20" i="1"/>
  <c r="F21" i="1" a="1"/>
  <c r="F21" i="1"/>
  <c r="F22" i="1" a="1"/>
  <c r="F22" i="1"/>
  <c r="F23" i="1" a="1"/>
  <c r="F23" i="1"/>
  <c r="G23" i="1" s="1" a="1"/>
  <c r="G23" i="1" s="1"/>
  <c r="F24" i="1" a="1"/>
  <c r="F24" i="1"/>
  <c r="G24" i="1" s="1" a="1"/>
  <c r="G24" i="1" s="1"/>
  <c r="F25" i="1" a="1"/>
  <c r="F25" i="1"/>
  <c r="F26" i="1" a="1"/>
  <c r="F26" i="1"/>
  <c r="F27" i="1" a="1"/>
  <c r="F27" i="1"/>
  <c r="G27" i="1" s="1" a="1"/>
  <c r="G27" i="1" s="1"/>
  <c r="F28" i="1" a="1"/>
  <c r="F28" i="1"/>
  <c r="G28" i="1" s="1" a="1"/>
  <c r="G28" i="1" s="1"/>
  <c r="F29" i="1" a="1"/>
  <c r="F29" i="1"/>
  <c r="F30" i="1" a="1"/>
  <c r="F30" i="1"/>
  <c r="F31" i="1" a="1"/>
  <c r="F31" i="1"/>
  <c r="F32" i="1" a="1"/>
  <c r="F32" i="1"/>
  <c r="G32" i="1" s="1" a="1"/>
  <c r="G32" i="1" s="1"/>
  <c r="F33" i="1" a="1"/>
  <c r="F33" i="1"/>
  <c r="F34" i="1" a="1"/>
  <c r="F34" i="1"/>
  <c r="F35" i="1" a="1"/>
  <c r="F35" i="1"/>
  <c r="G35" i="1" s="1" a="1"/>
  <c r="G35" i="1" s="1"/>
  <c r="F36" i="1" a="1"/>
  <c r="F36" i="1"/>
  <c r="F37" i="1" a="1"/>
  <c r="F37" i="1"/>
  <c r="F38" i="1" a="1"/>
  <c r="F38" i="1"/>
  <c r="F2" i="1" a="1"/>
  <c r="F2" i="1" s="1"/>
  <c r="G2" i="1" s="1" a="1"/>
  <c r="G2" i="1" s="1"/>
  <c r="G4" i="1" a="1"/>
  <c r="G4" i="1" s="1"/>
  <c r="G5" i="1" a="1"/>
  <c r="G5" i="1" s="1"/>
  <c r="G6" i="1" a="1"/>
  <c r="G6" i="1" s="1"/>
  <c r="G9" i="1" a="1"/>
  <c r="G9" i="1"/>
  <c r="G10" i="1" a="1"/>
  <c r="G10" i="1" s="1"/>
  <c r="G13" i="1" a="1"/>
  <c r="G13" i="1" s="1"/>
  <c r="G14" i="1" a="1"/>
  <c r="G14" i="1"/>
  <c r="G15" i="1" a="1"/>
  <c r="G15" i="1" s="1"/>
  <c r="G17" i="1" a="1"/>
  <c r="G17" i="1" s="1"/>
  <c r="G18" i="1" a="1"/>
  <c r="G18" i="1" s="1"/>
  <c r="G20" i="1" a="1"/>
  <c r="G20" i="1" s="1"/>
  <c r="G21" i="1" a="1"/>
  <c r="G21" i="1" s="1"/>
  <c r="G22" i="1" a="1"/>
  <c r="G22" i="1" s="1"/>
  <c r="G25" i="1" a="1"/>
  <c r="G25" i="1"/>
  <c r="G26" i="1" a="1"/>
  <c r="G26" i="1" s="1"/>
  <c r="G29" i="1" a="1"/>
  <c r="G29" i="1" s="1"/>
  <c r="G30" i="1" a="1"/>
  <c r="G30" i="1"/>
  <c r="G31" i="1" a="1"/>
  <c r="G31" i="1" s="1"/>
  <c r="G33" i="1" a="1"/>
  <c r="G33" i="1" s="1"/>
  <c r="G34" i="1" a="1"/>
  <c r="G34" i="1" s="1"/>
  <c r="G36" i="1" a="1"/>
  <c r="G36" i="1" s="1"/>
  <c r="G37" i="1" a="1"/>
  <c r="G37" i="1" s="1"/>
  <c r="G38" i="1" a="1"/>
  <c r="G38" i="1" s="1"/>
  <c r="G3" i="2" a="1"/>
  <c r="G3" i="2" s="1"/>
  <c r="G4" i="2" a="1"/>
  <c r="G4" i="2" s="1"/>
  <c r="G5" i="2" a="1"/>
  <c r="G5" i="2"/>
  <c r="G6" i="2" a="1"/>
  <c r="G6" i="2"/>
  <c r="G7" i="2" a="1"/>
  <c r="G7" i="2" s="1"/>
  <c r="G8" i="2" a="1"/>
  <c r="G8" i="2" s="1"/>
  <c r="G9" i="2" a="1"/>
  <c r="G9" i="2"/>
  <c r="G10" i="2" a="1"/>
  <c r="G10" i="2"/>
  <c r="G11" i="2" a="1"/>
  <c r="G11" i="2" s="1"/>
  <c r="G12" i="2" a="1"/>
  <c r="G12" i="2" s="1"/>
  <c r="G13" i="2" a="1"/>
  <c r="G13" i="2"/>
  <c r="G14" i="2" a="1"/>
  <c r="G14" i="2"/>
  <c r="G15" i="2" a="1"/>
  <c r="G15" i="2" s="1"/>
  <c r="G16" i="2" a="1"/>
  <c r="G16" i="2" s="1"/>
  <c r="G17" i="2" a="1"/>
  <c r="G17" i="2"/>
  <c r="G18" i="2" a="1"/>
  <c r="G18" i="2"/>
  <c r="G19" i="2" a="1"/>
  <c r="G19" i="2" s="1"/>
  <c r="G20" i="2" a="1"/>
  <c r="G20" i="2" s="1"/>
  <c r="G21" i="2" a="1"/>
  <c r="G21" i="2"/>
  <c r="G22" i="2" a="1"/>
  <c r="G22" i="2"/>
  <c r="G23" i="2" a="1"/>
  <c r="G23" i="2" s="1"/>
  <c r="G24" i="2" a="1"/>
  <c r="G24" i="2" s="1"/>
  <c r="G25" i="2" a="1"/>
  <c r="G25" i="2"/>
  <c r="G26" i="2" a="1"/>
  <c r="G26" i="2"/>
  <c r="G27" i="2" a="1"/>
  <c r="G27" i="2" s="1"/>
  <c r="G28" i="2" a="1"/>
  <c r="G28" i="2" s="1"/>
  <c r="G29" i="2" a="1"/>
  <c r="G29" i="2"/>
  <c r="G30" i="2" a="1"/>
  <c r="G30" i="2"/>
  <c r="G31" i="2" a="1"/>
  <c r="G31" i="2" s="1"/>
  <c r="G32" i="2" a="1"/>
  <c r="G32" i="2" s="1"/>
  <c r="G33" i="2" a="1"/>
  <c r="G33" i="2"/>
  <c r="G34" i="2" a="1"/>
  <c r="G34" i="2"/>
  <c r="G35" i="2" a="1"/>
  <c r="G35" i="2" s="1"/>
  <c r="G36" i="2" a="1"/>
  <c r="G36" i="2" s="1"/>
  <c r="G37" i="2" a="1"/>
  <c r="G37" i="2"/>
  <c r="G38" i="2" a="1"/>
  <c r="G38" i="2" s="1"/>
  <c r="G39" i="2" a="1"/>
  <c r="G39" i="2" s="1"/>
  <c r="G40" i="2" a="1"/>
  <c r="G40" i="2" s="1"/>
  <c r="G41" i="2" a="1"/>
  <c r="G41" i="2"/>
  <c r="G42" i="2" a="1"/>
  <c r="G42" i="2" s="1"/>
  <c r="G43" i="2" a="1"/>
  <c r="G43" i="2" s="1"/>
  <c r="G44" i="2" a="1"/>
  <c r="G44" i="2" s="1"/>
  <c r="G45" i="2" a="1"/>
  <c r="G45" i="2"/>
  <c r="G46" i="2" a="1"/>
  <c r="G46" i="2" s="1"/>
  <c r="G47" i="2" a="1"/>
  <c r="G47" i="2" s="1"/>
  <c r="G48" i="2" a="1"/>
  <c r="G48" i="2" s="1"/>
  <c r="G49" i="2" a="1"/>
  <c r="G49" i="2"/>
  <c r="G2" i="2" a="1"/>
  <c r="G2" i="2" s="1"/>
  <c r="F3" i="2" a="1"/>
  <c r="F3" i="2" s="1"/>
  <c r="F4" i="2" a="1"/>
  <c r="F4" i="2" s="1"/>
  <c r="F5" i="2" a="1"/>
  <c r="F5" i="2"/>
  <c r="F6" i="2" a="1"/>
  <c r="F6" i="2"/>
  <c r="F7" i="2" a="1"/>
  <c r="F7" i="2" s="1"/>
  <c r="F8" i="2" a="1"/>
  <c r="F8" i="2" s="1"/>
  <c r="F9" i="2" a="1"/>
  <c r="F9" i="2"/>
  <c r="F10" i="2" a="1"/>
  <c r="F10" i="2"/>
  <c r="F11" i="2" a="1"/>
  <c r="F11" i="2" s="1"/>
  <c r="F12" i="2" a="1"/>
  <c r="F12" i="2" s="1"/>
  <c r="F13" i="2" a="1"/>
  <c r="F13" i="2"/>
  <c r="F14" i="2" a="1"/>
  <c r="F14" i="2"/>
  <c r="F15" i="2" a="1"/>
  <c r="F15" i="2" s="1"/>
  <c r="F16" i="2" a="1"/>
  <c r="F16" i="2" s="1"/>
  <c r="F17" i="2" a="1"/>
  <c r="F17" i="2"/>
  <c r="F18" i="2" a="1"/>
  <c r="F18" i="2"/>
  <c r="F19" i="2" a="1"/>
  <c r="F19" i="2" s="1"/>
  <c r="F20" i="2" a="1"/>
  <c r="F20" i="2" s="1"/>
  <c r="F21" i="2" a="1"/>
  <c r="F21" i="2"/>
  <c r="F22" i="2" a="1"/>
  <c r="F22" i="2" s="1"/>
  <c r="F23" i="2" a="1"/>
  <c r="F23" i="2" s="1"/>
  <c r="F24" i="2" a="1"/>
  <c r="F24" i="2" s="1"/>
  <c r="F25" i="2" a="1"/>
  <c r="F25" i="2"/>
  <c r="F26" i="2" a="1"/>
  <c r="F26" i="2"/>
  <c r="F27" i="2" a="1"/>
  <c r="F27" i="2" s="1"/>
  <c r="F28" i="2" a="1"/>
  <c r="F28" i="2" s="1"/>
  <c r="F29" i="2" a="1"/>
  <c r="F29" i="2"/>
  <c r="F30" i="2" a="1"/>
  <c r="F30" i="2"/>
  <c r="F31" i="2" a="1"/>
  <c r="F31" i="2" s="1"/>
  <c r="F32" i="2" a="1"/>
  <c r="F32" i="2" s="1"/>
  <c r="F33" i="2" a="1"/>
  <c r="F33" i="2"/>
  <c r="F34" i="2" a="1"/>
  <c r="F34" i="2"/>
  <c r="F35" i="2" a="1"/>
  <c r="F35" i="2" s="1"/>
  <c r="F36" i="2" a="1"/>
  <c r="F36" i="2" s="1"/>
  <c r="F37" i="2" a="1"/>
  <c r="F37" i="2"/>
  <c r="F38" i="2" a="1"/>
  <c r="F38" i="2"/>
  <c r="F39" i="2" a="1"/>
  <c r="F39" i="2" s="1"/>
  <c r="F40" i="2" a="1"/>
  <c r="F40" i="2" s="1"/>
  <c r="F41" i="2" a="1"/>
  <c r="F41" i="2"/>
  <c r="F42" i="2" a="1"/>
  <c r="F42" i="2"/>
  <c r="F43" i="2" a="1"/>
  <c r="F43" i="2" s="1"/>
  <c r="F44" i="2" a="1"/>
  <c r="F44" i="2" s="1"/>
  <c r="F45" i="2" a="1"/>
  <c r="F45" i="2"/>
  <c r="F46" i="2" a="1"/>
  <c r="F46" i="2"/>
  <c r="F47" i="2" a="1"/>
  <c r="F47" i="2" s="1"/>
  <c r="F48" i="2" a="1"/>
  <c r="F48" i="2" s="1"/>
  <c r="F49" i="2" a="1"/>
  <c r="F49" i="2"/>
  <c r="F2" i="2" a="1"/>
  <c r="F2" i="2" s="1"/>
  <c r="D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2" i="4"/>
  <c r="D3" i="4"/>
  <c r="D4" i="4"/>
  <c r="D5" i="4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B8" i="18" a="1"/>
  <c r="F8" i="14" l="1"/>
  <c r="G8" i="14" s="1" a="1"/>
  <c r="G8" i="14" s="1"/>
  <c r="F16" i="14"/>
  <c r="G16" i="14" s="1" a="1"/>
  <c r="G16" i="14" s="1"/>
  <c r="F4" i="14"/>
  <c r="G4" i="14" s="1" a="1"/>
  <c r="G4" i="14" s="1"/>
  <c r="F12" i="14"/>
  <c r="G12" i="14" s="1" a="1"/>
  <c r="G12" i="14" s="1"/>
  <c r="F20" i="14"/>
  <c r="G20" i="14" s="1" a="1"/>
  <c r="G20" i="14" s="1"/>
  <c r="F2" i="14"/>
  <c r="G2" i="14" s="1" a="1"/>
  <c r="G2" i="14" s="1"/>
  <c r="F24" i="14"/>
  <c r="G24" i="14" s="1" a="1"/>
  <c r="G24" i="14" s="1"/>
  <c r="F28" i="14"/>
  <c r="G28" i="14" s="1" a="1"/>
  <c r="G28" i="14" s="1"/>
  <c r="B8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tc={972569A4-2362-4865-81DD-5384C60CF99A}</author>
    <author>tc={CB923D84-AA8A-439F-8EAE-49E136BC9FDC}</author>
  </authors>
  <commentList>
    <comment ref="C38" authorId="0" shapeId="0" xr:uid="{972569A4-2362-4865-81DD-5384C60CF99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  <comment ref="C121" authorId="1" shapeId="0" xr:uid="{CB923D84-AA8A-439F-8EAE-49E136BC9FD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Barrio San Antonio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<sst xmlns="http://schemas.openxmlformats.org/spreadsheetml/2006/main" count="330" uniqueCount="254">
  <si>
    <t>Número</t>
  </si>
  <si>
    <t>Estación</t>
  </si>
  <si>
    <t>Tacubaya</t>
  </si>
  <si>
    <t>Antonio Maceo</t>
  </si>
  <si>
    <t>Parque Lira</t>
  </si>
  <si>
    <t>De la Salle</t>
  </si>
  <si>
    <t>Patriotismo</t>
  </si>
  <si>
    <t>Escandón</t>
  </si>
  <si>
    <t>Nuevo León</t>
  </si>
  <si>
    <t>Viaducto</t>
  </si>
  <si>
    <t>Amores</t>
  </si>
  <si>
    <t>Etiopía</t>
  </si>
  <si>
    <t>Doctor Vértiz</t>
  </si>
  <si>
    <t>Centro Scop</t>
  </si>
  <si>
    <t>Álamos</t>
  </si>
  <si>
    <t>Xola</t>
  </si>
  <si>
    <t>Las Américas</t>
  </si>
  <si>
    <t>Andrés Molina Enríquez</t>
  </si>
  <si>
    <t>La Viga</t>
  </si>
  <si>
    <t>Coyuya</t>
  </si>
  <si>
    <t>Canela</t>
  </si>
  <si>
    <t>Tlacotal</t>
  </si>
  <si>
    <t>Goma</t>
  </si>
  <si>
    <t>Iztacalco</t>
  </si>
  <si>
    <t>UPIICSA</t>
  </si>
  <si>
    <t>El Rodeo</t>
  </si>
  <si>
    <t>Río Tecolutla</t>
  </si>
  <si>
    <t>Río Mayo</t>
  </si>
  <si>
    <t>Rojo Gómez</t>
  </si>
  <si>
    <t>Del Moral</t>
  </si>
  <si>
    <t>Río Frío</t>
  </si>
  <si>
    <t>Leyes de Reforma</t>
  </si>
  <si>
    <t>CCH Oriente</t>
  </si>
  <si>
    <t>Constitución de Apatzingán</t>
  </si>
  <si>
    <t>Canal de San Juan</t>
  </si>
  <si>
    <t>Nicolás Bravo</t>
  </si>
  <si>
    <t>General Antonio de León</t>
  </si>
  <si>
    <t>Tepalcates</t>
  </si>
  <si>
    <t>Metro Coyuya</t>
  </si>
  <si>
    <t>Indios verdes</t>
  </si>
  <si>
    <t>Deportivo 18 de Marzo</t>
  </si>
  <si>
    <t>Euzkaro</t>
  </si>
  <si>
    <t>Potrero</t>
  </si>
  <si>
    <t>La Raza</t>
  </si>
  <si>
    <t>Circuito</t>
  </si>
  <si>
    <t>San Simón</t>
  </si>
  <si>
    <t>Manuel González</t>
  </si>
  <si>
    <t>Buenavista</t>
  </si>
  <si>
    <t>El Chopo</t>
  </si>
  <si>
    <t>Revolución</t>
  </si>
  <si>
    <t>Plaza de la república</t>
  </si>
  <si>
    <t>Reforma</t>
  </si>
  <si>
    <t>Hamburgo</t>
  </si>
  <si>
    <t>Glorieta Insurgentes</t>
  </si>
  <si>
    <t>Durango</t>
  </si>
  <si>
    <t>Álvaro Obregón</t>
  </si>
  <si>
    <t>Sonora</t>
  </si>
  <si>
    <t>Campeche</t>
  </si>
  <si>
    <t>Chilpancingo</t>
  </si>
  <si>
    <t>La Piedad</t>
  </si>
  <si>
    <t>Polifórum</t>
  </si>
  <si>
    <t>Nápoles</t>
  </si>
  <si>
    <t>Colonia del Valle</t>
  </si>
  <si>
    <t>Ciudad de los deportes</t>
  </si>
  <si>
    <t>Parque Hundido</t>
  </si>
  <si>
    <t>Félix Cuevas</t>
  </si>
  <si>
    <t>Río Churubusco</t>
  </si>
  <si>
    <t>Teatro Insurgentes</t>
  </si>
  <si>
    <t>Jose Maria Velasco</t>
  </si>
  <si>
    <t>Francia</t>
  </si>
  <si>
    <t>Olivo</t>
  </si>
  <si>
    <t>Altavista</t>
  </si>
  <si>
    <t>La Bombilla</t>
  </si>
  <si>
    <t>Doctor Gálvez Sur</t>
  </si>
  <si>
    <t>Doctor Gálvez Norte</t>
  </si>
  <si>
    <t>C. U.</t>
  </si>
  <si>
    <t>Perisur</t>
  </si>
  <si>
    <t>Villa olímpica</t>
  </si>
  <si>
    <t>Corregidora</t>
  </si>
  <si>
    <t>Ayuntamiento</t>
  </si>
  <si>
    <t>Fuentes Brotantes</t>
  </si>
  <si>
    <t>Santa Úrsula</t>
  </si>
  <si>
    <t>La Joya</t>
  </si>
  <si>
    <t>El Caminero</t>
  </si>
  <si>
    <t>Buenavista II</t>
  </si>
  <si>
    <t>CCU</t>
  </si>
  <si>
    <t>Tenayuca</t>
  </si>
  <si>
    <t>San José de la Escalera</t>
  </si>
  <si>
    <t>Progreso Nacional</t>
  </si>
  <si>
    <t>Tres Anegas</t>
  </si>
  <si>
    <t>Júpiter</t>
  </si>
  <si>
    <t>La Patera</t>
  </si>
  <si>
    <t>Poniente 146</t>
  </si>
  <si>
    <t>Montevideo</t>
  </si>
  <si>
    <t>Poniente 134</t>
  </si>
  <si>
    <t xml:space="preserve">Poniente 128 </t>
  </si>
  <si>
    <t>Magdalena de las Salinas</t>
  </si>
  <si>
    <t>Coltongo</t>
  </si>
  <si>
    <t>Cuitláhuac</t>
  </si>
  <si>
    <t>Héroe de Nacozari</t>
  </si>
  <si>
    <t>Hospital La Raza</t>
  </si>
  <si>
    <t>Tolnáhuac</t>
  </si>
  <si>
    <t>Tlatelolco</t>
  </si>
  <si>
    <t>Ricardo Flores Magón</t>
  </si>
  <si>
    <t>Guerrero</t>
  </si>
  <si>
    <t>Buenavista III</t>
  </si>
  <si>
    <t>Mina</t>
  </si>
  <si>
    <t>Hidalgo</t>
  </si>
  <si>
    <t>Juarez</t>
  </si>
  <si>
    <t>Balderas</t>
  </si>
  <si>
    <t>Cuauhtémoc</t>
  </si>
  <si>
    <t>Jardín Pushkin</t>
  </si>
  <si>
    <t xml:space="preserve">Hospital General </t>
  </si>
  <si>
    <t>Doctor Márquez</t>
  </si>
  <si>
    <t>Centro Médico</t>
  </si>
  <si>
    <t>Obrero Mundial</t>
  </si>
  <si>
    <t>Luz Saviñon</t>
  </si>
  <si>
    <t>Eugenia</t>
  </si>
  <si>
    <t>Division del Norte</t>
  </si>
  <si>
    <t>Miguel Laurent</t>
  </si>
  <si>
    <t>Pueblo Sta. Cruz Atoyac</t>
  </si>
  <si>
    <t>Río Remedios</t>
  </si>
  <si>
    <t>314 Memorial</t>
  </si>
  <si>
    <t>V. Quiroga</t>
  </si>
  <si>
    <t>El Coyol</t>
  </si>
  <si>
    <t>Preparatoria 3</t>
  </si>
  <si>
    <t>San Juan de Aragón</t>
  </si>
  <si>
    <t>Talismán</t>
  </si>
  <si>
    <t>Victoria</t>
  </si>
  <si>
    <t>Oriente 101</t>
  </si>
  <si>
    <t>Rio Santa Coleta</t>
  </si>
  <si>
    <t xml:space="preserve">Rio Consulado </t>
  </si>
  <si>
    <t>Canal del Norte</t>
  </si>
  <si>
    <t>Mercado Morelos</t>
  </si>
  <si>
    <t>Archivo General de la Nación</t>
  </si>
  <si>
    <t>San Lázaro</t>
  </si>
  <si>
    <t>Moctezuma</t>
  </si>
  <si>
    <t>Venustiano Carranza</t>
  </si>
  <si>
    <t>Av. del Taller</t>
  </si>
  <si>
    <t>Mixihuca</t>
  </si>
  <si>
    <t>Hospital Gral. Troncoso</t>
  </si>
  <si>
    <t>Recreo</t>
  </si>
  <si>
    <t>Oriente 116</t>
  </si>
  <si>
    <t>Colegio de Bachilleres 3</t>
  </si>
  <si>
    <t>Apatlaco</t>
  </si>
  <si>
    <t>Aculco</t>
  </si>
  <si>
    <t>Churubusco Oriente</t>
  </si>
  <si>
    <t>Escuadrón 201</t>
  </si>
  <si>
    <t>Atanacio G. Sarabia</t>
  </si>
  <si>
    <t>Ermita Iztapalapa</t>
  </si>
  <si>
    <t>Ganaderos</t>
  </si>
  <si>
    <t>Pueblo de los Reyes</t>
  </si>
  <si>
    <t>Calzada Taxqueña</t>
  </si>
  <si>
    <t>Cafetales</t>
  </si>
  <si>
    <t>ESIME Culhuacán</t>
  </si>
  <si>
    <t>La Virgen</t>
  </si>
  <si>
    <t>Tepetlapa</t>
  </si>
  <si>
    <t>Las Bombas</t>
  </si>
  <si>
    <t>Vista Hermosa</t>
  </si>
  <si>
    <t>Calzada del Hueso</t>
  </si>
  <si>
    <t>Cañaverales</t>
  </si>
  <si>
    <t>Circuito Cuemanco</t>
  </si>
  <si>
    <t>DIF Xochimilco</t>
  </si>
  <si>
    <t>Deportivo Eduardo Molina</t>
  </si>
  <si>
    <t>Buenavista 4</t>
  </si>
  <si>
    <t>Aeropuerto</t>
  </si>
  <si>
    <t>Pantitlán</t>
  </si>
  <si>
    <t>Canal Apatlaco</t>
  </si>
  <si>
    <t>Preparatoria 1</t>
  </si>
  <si>
    <t>Muyuguarda</t>
  </si>
  <si>
    <t>Manuela Sáenz</t>
  </si>
  <si>
    <t>Linea</t>
  </si>
  <si>
    <t>IPN</t>
  </si>
  <si>
    <t>Río de Guadalupe</t>
  </si>
  <si>
    <t>Villa de Aragón</t>
  </si>
  <si>
    <t>Francisco Morazán</t>
  </si>
  <si>
    <t>Colegio de Bachilleres 9</t>
  </si>
  <si>
    <t>La Pradera</t>
  </si>
  <si>
    <t>Volcán de Fuego</t>
  </si>
  <si>
    <t>Ampliación Providencia</t>
  </si>
  <si>
    <t>Deportivo los Galeana</t>
  </si>
  <si>
    <t>Av. 414</t>
  </si>
  <si>
    <t>Av. 482</t>
  </si>
  <si>
    <t>Loreto Fabela</t>
  </si>
  <si>
    <t>Pueblo San Juan de Aragón</t>
  </si>
  <si>
    <t>Casas Alemán</t>
  </si>
  <si>
    <t>Gran Canal</t>
  </si>
  <si>
    <t>Hospital General La Villa</t>
  </si>
  <si>
    <t>Martín Carrera</t>
  </si>
  <si>
    <t>Delegación GAM</t>
  </si>
  <si>
    <t>Hospital Infantil La Villa</t>
  </si>
  <si>
    <t>De los Misterios</t>
  </si>
  <si>
    <t>La Villa</t>
  </si>
  <si>
    <t>Río Bamba</t>
  </si>
  <si>
    <t>San Bartolo</t>
  </si>
  <si>
    <t>Instituto del Petróleo</t>
  </si>
  <si>
    <t>Lindavista-Vallejo</t>
  </si>
  <si>
    <t>Norte 45</t>
  </si>
  <si>
    <t>Norte 59</t>
  </si>
  <si>
    <t>Tecnoparque</t>
  </si>
  <si>
    <t>UAM Azcapotzalco</t>
  </si>
  <si>
    <t>Ferrocarriles Nacionales</t>
  </si>
  <si>
    <t>De las Culturas</t>
  </si>
  <si>
    <t>Colegio de Bachilleres 1</t>
  </si>
  <si>
    <t>El Rosario</t>
  </si>
  <si>
    <t>Indios Verdes</t>
  </si>
  <si>
    <t>Av. Talismán poniente</t>
  </si>
  <si>
    <t>Auditorio</t>
  </si>
  <si>
    <t>Campo Marte</t>
  </si>
  <si>
    <t>Gandhi</t>
  </si>
  <si>
    <t>Antropología</t>
  </si>
  <si>
    <t>Garrido</t>
  </si>
  <si>
    <t>Excélsior</t>
  </si>
  <si>
    <t>Robles Domínguez</t>
  </si>
  <si>
    <t>Misterios</t>
  </si>
  <si>
    <t>Mercado Beethoven</t>
  </si>
  <si>
    <t>Peralvillo</t>
  </si>
  <si>
    <t>Tres Culturas</t>
  </si>
  <si>
    <t>Glorieta Cuitláhuac</t>
  </si>
  <si>
    <t>Garibaldi</t>
  </si>
  <si>
    <t>El Caballito</t>
  </si>
  <si>
    <t>Glorieta Violeta</t>
  </si>
  <si>
    <t>Glorieta Colón</t>
  </si>
  <si>
    <t>París</t>
  </si>
  <si>
    <t>La Palma</t>
  </si>
  <si>
    <t>El Ángel</t>
  </si>
  <si>
    <t>La Diana</t>
  </si>
  <si>
    <t>Chapultepec</t>
  </si>
  <si>
    <t>Barrio San Antonio</t>
  </si>
  <si>
    <t>IP</t>
  </si>
  <si>
    <t xml:space="preserve">Linea </t>
  </si>
  <si>
    <t xml:space="preserve">Av. 416 Poniente </t>
  </si>
  <si>
    <t xml:space="preserve">Av. 416 Oriente </t>
  </si>
  <si>
    <t xml:space="preserve"> </t>
  </si>
  <si>
    <t>Linea_1</t>
  </si>
  <si>
    <t>Linea_2</t>
  </si>
  <si>
    <t>Linea_3</t>
  </si>
  <si>
    <t>Linea_4</t>
  </si>
  <si>
    <t>Linea_5</t>
  </si>
  <si>
    <t>Linea_6</t>
  </si>
  <si>
    <t>Linea_7</t>
  </si>
  <si>
    <t>Ruta:</t>
  </si>
  <si>
    <t xml:space="preserve">Seleccione linea de Metrobus a monitorear </t>
  </si>
  <si>
    <t>AUXILIAR 1</t>
  </si>
  <si>
    <t>AUXILIAR 2</t>
  </si>
  <si>
    <t xml:space="preserve">Nopal_auxiliar </t>
  </si>
  <si>
    <t xml:space="preserve">Chilaquil_auxiliar </t>
  </si>
  <si>
    <t>Nombre del archivo:</t>
  </si>
  <si>
    <t>IP_addresses</t>
  </si>
  <si>
    <t>C:\Users\Hector Melchor\Documents\Proyectos python WL\Proto_multiping</t>
  </si>
  <si>
    <t xml:space="preserve">Velocidad de respuesta </t>
  </si>
  <si>
    <t>Estado de Conexión</t>
  </si>
  <si>
    <t>ESTABLE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</si>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</sst>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u/>
      <sz val="10"/>
      <color rgb="FF0070C0"/>
      <name val="Arial"/>
      <family val="2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B3FFB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1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 applyAlignment="1">
      <alignment horizontal="center" vertical="center"/>
    </xf>
    <xf numFmtId="49" fontId="6" fillId="0" borderId="0" xfId="2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vertical="center"/>
    </xf>
    <xf numFmtId="1" fontId="0" fillId="0" borderId="0" xfId="0" applyNumberFormat="1" applyAlignment="1">
      <alignment vertical="center"/>
    </xf>
    <xf numFmtId="1" fontId="3" fillId="0" borderId="1" xfId="0" applyNumberFormat="1" applyFont="1" applyBorder="1" applyAlignment="1">
      <alignment vertical="center"/>
    </xf>
    <xf numFmtId="0" fontId="6" fillId="0" borderId="0" xfId="0" applyFont="1" applyAlignment="1">
      <alignment vertical="center"/>
    </xf>
    <xf numFmtId="49" fontId="7" fillId="0" borderId="1" xfId="2" applyNumberFormat="1" applyFont="1" applyBorder="1" applyAlignment="1">
      <alignment vertical="center"/>
    </xf>
    <xf numFmtId="49" fontId="7" fillId="0" borderId="1" xfId="0" applyNumberFormat="1" applyFont="1" applyBorder="1" applyAlignment="1">
      <alignment vertical="center"/>
    </xf>
    <xf numFmtId="0" fontId="0" fillId="0" borderId="0" xfId="0" applyAlignment="1">
      <alignment horizontal="left" vertical="center"/>
    </xf>
    <xf numFmtId="0" fontId="0" fillId="5" borderId="2" xfId="0" applyFill="1" applyBorder="1"/>
    <xf numFmtId="0" fontId="0" fillId="6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left" vertical="center"/>
    </xf>
    <xf numFmtId="0" fontId="0" fillId="7" borderId="0" xfId="0" applyFill="1"/>
    <xf numFmtId="0" fontId="0" fillId="6" borderId="0" xfId="0" applyFill="1"/>
    <xf numFmtId="0" fontId="9" fillId="3" borderId="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right" vertical="center"/>
    </xf>
    <xf numFmtId="0" fontId="9" fillId="4" borderId="2" xfId="0" applyFont="1" applyFill="1" applyBorder="1" applyAlignment="1">
      <alignment horizontal="left" vertical="center"/>
    </xf>
    <xf numFmtId="0" fontId="9" fillId="4" borderId="2" xfId="0" applyFont="1" applyFill="1" applyBorder="1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3" fillId="2" borderId="4" xfId="0" applyFont="1" applyFill="1" applyBorder="1" applyAlignment="1">
      <alignment horizontal="center" vertical="center"/>
    </xf>
    <xf numFmtId="49" fontId="0" fillId="5" borderId="2" xfId="0" applyNumberFormat="1" applyFill="1" applyBorder="1" applyAlignment="1">
      <alignment horizontal="center" vertical="center"/>
    </xf>
    <xf numFmtId="49" fontId="0" fillId="5" borderId="5" xfId="0" applyNumberFormat="1" applyFill="1" applyBorder="1" applyAlignment="1">
      <alignment horizontal="center" vertical="center"/>
    </xf>
    <xf numFmtId="0" fontId="0" fillId="5" borderId="5" xfId="0" applyFill="1" applyBorder="1"/>
    <xf numFmtId="49" fontId="13" fillId="2" borderId="6" xfId="0" applyNumberFormat="1" applyFont="1" applyFill="1" applyBorder="1" applyAlignment="1">
      <alignment horizontal="center" vertical="center"/>
    </xf>
    <xf numFmtId="0" fontId="0" fillId="5" borderId="2" xfId="0" applyFill="1" applyBorder="1" applyAlignment="1">
      <alignment vertical="center"/>
    </xf>
    <xf numFmtId="0" fontId="8" fillId="0" borderId="0" xfId="0" applyFont="1"/>
    <xf numFmtId="0" fontId="8" fillId="4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</cellXfs>
  <cellStyles count="3">
    <cellStyle name="Hipervínculo" xfId="2" builtinId="8"/>
    <cellStyle name="Normal" xfId="0" builtinId="0"/>
    <cellStyle name="Normal 2" xfId="1" xr:uid="{17AA6BD3-B45E-4EA1-941E-04E984348FD4}"/>
  </cellStyles>
  <dxfs count="4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0"/>
        <color rgb="FF0070C0"/>
        <name val="Arial"/>
        <family val="2"/>
        <scheme val="none"/>
      </font>
      <numFmt numFmtId="30" formatCode="@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1" formatCode="0"/>
      <alignment horizontal="general" vertical="center" textRotation="0" wrapText="0" indent="0" justifyLastLine="0" shrinkToFit="0" readingOrder="0"/>
    </dxf>
    <dxf>
      <font>
        <sz val="10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/>
      </border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/>
        <vertAlign val="baseline"/>
        <sz val="11"/>
        <color rgb="FF0070C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B2B2B2"/>
      <color rgb="FF008000"/>
      <color rgb="FFD10518"/>
      <color rgb="FFB3FFBC"/>
      <color rgb="FFFF4F4F"/>
      <color rgb="FFFF01FF"/>
      <color rgb="FFFF3300"/>
      <color rgb="FF33CC33"/>
      <color rgb="FFAF112F"/>
      <color rgb="FFFB5F6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755650</xdr:colOff>
      <xdr:row>0</xdr:row>
      <xdr:rowOff>46302</xdr:rowOff>
    </xdr:from>
    <xdr:to>
      <xdr:col>7</xdr:col>
      <xdr:colOff>0</xdr:colOff>
      <xdr:row>3</xdr:row>
      <xdr:rowOff>6350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55650" y="46302"/>
          <a:ext cx="6965950" cy="531548"/>
        </a:xfrm>
        <a:prstGeom prst="rect">
          <a:avLst/>
        </a:prstGeom>
        <a:solidFill>
          <a:srgbClr val="B2B2B2">
            <a:alpha val="50196"/>
          </a:srgb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>
              <a:solidFill>
                <a:sysClr val="windowText" lastClr="000000"/>
              </a:solidFill>
            </a:rPr>
            <a:t>Herramienta Multiping</a:t>
          </a:r>
          <a:endParaRPr lang="es-MX" sz="1100" b="1" baseline="0">
            <a:solidFill>
              <a:sysClr val="windowText" lastClr="000000"/>
            </a:solidFill>
          </a:endParaRPr>
        </a:p>
        <a:p>
          <a:pPr algn="ctr"/>
          <a:r>
            <a:rPr lang="es-MX" sz="1100" b="1" baseline="0">
              <a:solidFill>
                <a:sysClr val="windowText" lastClr="000000"/>
              </a:solidFill>
            </a:rPr>
            <a:t>Monitoreo remoto para verificar la conexión y latencia de equipos NVR </a:t>
          </a:r>
          <a:endParaRPr lang="es-MX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161325</xdr:colOff>
          <xdr:row>3</xdr:row>
          <xdr:rowOff>131118</xdr:rowOff>
        </xdr:from>
        <xdr:to>
          <xdr:col>5</xdr:col>
          <xdr:colOff>456342</xdr:colOff>
          <xdr:row>6</xdr:row>
          <xdr:rowOff>61268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</a:t>
              </a:r>
            </a:p>
            <a:p>
              <a:pPr algn="ctr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Version BETA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279571</xdr:colOff>
          <xdr:row>3</xdr:row>
          <xdr:rowOff>139700</xdr:rowOff>
        </xdr:from>
        <xdr:to>
          <xdr:col>6</xdr:col>
          <xdr:colOff>743121</xdr:colOff>
          <xdr:row>6</xdr:row>
          <xdr:rowOff>63500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806278</xdr:colOff>
          <xdr:row>3</xdr:row>
          <xdr:rowOff>139700</xdr:rowOff>
        </xdr:from>
        <xdr:to>
          <xdr:col>6</xdr:col>
          <xdr:colOff>1269828</xdr:colOff>
          <xdr:row>6</xdr:row>
          <xdr:rowOff>63500</xdr:rowOff>
        </xdr:to>
        <xdr:sp macro="" textlink="">
          <xdr:nvSpPr>
            <xdr:cNvPr id="8201" name="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531684</xdr:colOff>
          <xdr:row>3</xdr:row>
          <xdr:rowOff>128888</xdr:rowOff>
        </xdr:from>
        <xdr:to>
          <xdr:col>6</xdr:col>
          <xdr:colOff>220534</xdr:colOff>
          <xdr:row>6</xdr:row>
          <xdr:rowOff>59880</xdr:rowOff>
        </xdr:to>
        <xdr:sp macro="" textlink="">
          <xdr:nvSpPr>
            <xdr:cNvPr id="8202" name="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7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Ejectutar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ashem Jimenez" id="{C3A2890B-4881-4012-BF6F-9583F88C2ED6}" userId="76f207df1af8e777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458205-B524-4893-8F4D-5AD9C32C1DB1}" name="Tabla1" displayName="Tabla1" ref="A1:D49" totalsRowShown="0" headerRowDxfId="46" dataDxfId="45">
  <autoFilter ref="A1:D49" xr:uid="{7E458205-B524-4893-8F4D-5AD9C32C1DB1}"/>
  <tableColumns count="4">
    <tableColumn id="9" xr3:uid="{01274717-D802-4E0B-B759-CF29B3AC66D4}" name="Linea" dataDxfId="44"/>
    <tableColumn id="1" xr3:uid="{CAACD12C-D1EE-4308-9E4A-8A5F3CC6EB3D}" name="Número" dataDxfId="43"/>
    <tableColumn id="2" xr3:uid="{F3BCB6C4-7176-4EF8-81E7-38DE67FC910A}" name="Estación" dataDxfId="42"/>
    <tableColumn id="8" xr3:uid="{DE548BF0-9331-40D2-BFFD-5751A7C3BC9B}" name="IP" dataDxfId="41">
      <calculatedColumnFormula>HYPERLINK("http://"&amp;"10"&amp;"."&amp;"1"&amp;"."&amp;VALUE(B2)&amp;"."&amp;"100")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63B8E9-037F-456D-B9CE-A641C7E05743}" name="Tabla3" displayName="Tabla3" ref="A1:D38" totalsRowShown="0" headerRowDxfId="40" dataDxfId="39">
  <autoFilter ref="A1:D38" xr:uid="{CF63B8E9-037F-456D-B9CE-A641C7E05743}"/>
  <tableColumns count="4">
    <tableColumn id="8" xr3:uid="{69F0C78F-CE14-41C7-9A46-C6D9E9417C15}" name="Linea" dataDxfId="38"/>
    <tableColumn id="1" xr3:uid="{3D3DFA51-E186-4721-9A1C-90FB73B5E85B}" name="Número" dataDxfId="37"/>
    <tableColumn id="2" xr3:uid="{67B6548C-BED8-4BB9-9317-75FA2256E62B}" name="Estación" dataDxfId="36"/>
    <tableColumn id="7" xr3:uid="{D2EE6AF4-3466-48FF-BD9B-7CDE633659C0}" name="IP" dataDxfId="35">
      <calculatedColumnFormula>HYPERLINK("http://10.2."&amp;VALUE(B2)&amp;".100")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DBF878-8714-468D-AB57-6D87EE4F651B}" name="Tabla4" displayName="Tabla4" ref="A1:D39" totalsRowShown="0" headerRowDxfId="34" dataDxfId="33">
  <autoFilter ref="A1:D39" xr:uid="{46DBF878-8714-468D-AB57-6D87EE4F651B}"/>
  <tableColumns count="4">
    <tableColumn id="8" xr3:uid="{BBF50E85-1783-4ED1-84F5-81EDD6DA1892}" name="Linea" dataDxfId="32"/>
    <tableColumn id="1" xr3:uid="{B48485CC-962F-4CCD-AFCC-82C09CE5C77D}" name="Número" dataDxfId="31"/>
    <tableColumn id="2" xr3:uid="{27A38237-DA10-4BDC-A938-6BC51BEA68CB}" name="Estación" dataDxfId="30"/>
    <tableColumn id="7" xr3:uid="{EBA69F51-DD1A-4A70-8893-862371B4FF13}" name="IP" dataDxfId="29">
      <calculatedColumnFormula>HYPERLINK("http://"&amp;"10."&amp;"3."&amp;VALUE(B2)&amp;".100")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E1605E0-D03C-40FF-BBFC-FB915F6C469C}" name="Tabla5" displayName="Tabla5" ref="A1:D5" totalsRowShown="0" headerRowDxfId="28" dataDxfId="27">
  <autoFilter ref="A1:D5" xr:uid="{7E1605E0-D03C-40FF-BBFC-FB915F6C469C}"/>
  <tableColumns count="4">
    <tableColumn id="8" xr3:uid="{9A36B41A-6E03-4B21-B7B0-6A5C459B644F}" name="Linea" dataDxfId="26"/>
    <tableColumn id="1" xr3:uid="{8CBB99D6-461E-4BE3-AA4A-EB145333D9D2}" name="Número" dataDxfId="25"/>
    <tableColumn id="2" xr3:uid="{174E264C-8ABD-465C-8152-9D19DDCC326E}" name="Estación" dataDxfId="24"/>
    <tableColumn id="7" xr3:uid="{CBC3A8BC-91E6-41BC-B97F-D530DF4957E7}" name="IP" dataDxfId="23">
      <calculatedColumnFormula>HYPERLINK("http://"&amp;"10."&amp;"4."&amp;VALUE(B2)&amp;".100")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228135-7642-4AF6-AD66-2A339006015A}" name="Tabla6" displayName="Tabla6" ref="A1:D52" totalsRowShown="0" headerRowDxfId="22" dataDxfId="21">
  <autoFilter ref="A1:D52" xr:uid="{9D228135-7642-4AF6-AD66-2A339006015A}"/>
  <tableColumns count="4">
    <tableColumn id="9" xr3:uid="{FB80E68C-DF8C-4759-A957-FD20C9264F0B}" name="Linea" dataDxfId="20"/>
    <tableColumn id="1" xr3:uid="{52DE81E1-0AAA-4F49-B099-BDE1805560D2}" name="Número" dataDxfId="19"/>
    <tableColumn id="2" xr3:uid="{5E85BAAC-56F3-4F0B-9A6A-062BB9D48B0E}" name="Estación" dataDxfId="18"/>
    <tableColumn id="8" xr3:uid="{6FD41838-D5C8-4364-8261-D02ADA8D4543}" name="IP" dataDxfId="17">
      <calculatedColumnFormula>HYPERLINK("http://10.5."&amp;VALUE(B2)&amp;".100")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12B74E8-FE54-4279-ADFA-0D90846798F3}" name="Tabla9" displayName="Tabla9" ref="A1:D38" totalsRowShown="0" headerRowDxfId="16" dataDxfId="15">
  <autoFilter ref="A1:D38" xr:uid="{612B74E8-FE54-4279-ADFA-0D90846798F3}"/>
  <tableColumns count="4">
    <tableColumn id="9" xr3:uid="{739C3434-DB76-4DB4-9C66-01B57541D7F3}" name="Linea" dataDxfId="14"/>
    <tableColumn id="1" xr3:uid="{03CF7848-F3FA-4585-9E3D-F24CD75A8782}" name="Número" dataDxfId="13"/>
    <tableColumn id="2" xr3:uid="{1D049ADE-6CB8-43ED-98A5-871DA65206CF}" name="Estación" dataDxfId="12"/>
    <tableColumn id="8" xr3:uid="{2C656A71-65BD-4E6F-8223-92C6EB765F98}" name="IP" dataDxfId="11">
      <calculatedColumnFormula>HYPERLINK("http://"&amp;"10."&amp;"6."&amp;VALUE(B2)&amp;".100")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CFA3F2-B891-441F-8DD2-7A459E81D952}" name="Tabla11" displayName="Tabla11" ref="A1:D28" totalsRowShown="0" headerRowDxfId="10" dataDxfId="9">
  <autoFilter ref="A1:D28" xr:uid="{51CFA3F2-B891-441F-8DD2-7A459E81D952}"/>
  <tableColumns count="4">
    <tableColumn id="9" xr3:uid="{B9D78AF5-D4ED-47F3-8BA7-772CAF1BEB8E}" name="Linea " dataDxfId="8"/>
    <tableColumn id="1" xr3:uid="{721F9B02-8324-4E75-9218-2268A76394A8}" name="Número" dataDxfId="7"/>
    <tableColumn id="2" xr3:uid="{CBAD77E0-72E2-47D0-8749-7A587F6D4291}" name="Estación" dataDxfId="6"/>
    <tableColumn id="8" xr3:uid="{9EDF1B7A-A70F-4962-805A-8FAF35295DFE}" name="IP" dataDxfId="5">
      <calculatedColumnFormula>HYPERLINK("http://"&amp;"10."&amp;"7."&amp;VALUE(B2)&amp;".100")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38" dT="2023-07-21T23:45:52.04" personId="{C3A2890B-4881-4012-BF6F-9583F88C2ED6}" id="{972569A4-2362-4865-81DD-5384C60CF99A}">
    <text>Barrio San Antonio</text>
  </threadedComment>
  <threadedComment ref="C121" dT="2023-07-21T23:45:52.04" personId="{C3A2890B-4881-4012-BF6F-9583F88C2ED6}" id="{CB923D84-AA8A-439F-8EAE-49E136BC9FDC}">
    <text>Barrio San Antonio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AC33D-C136-46B7-BA1F-2F33D455D0C3}">
  <sheetPr codeName="Hoja3"/>
  <dimension ref="A1:G150"/>
  <sheetViews>
    <sheetView topLeftCell="A28" zoomScaleNormal="100" workbookViewId="0">
      <selection activeCell="G2" sqref="G2"/>
    </sheetView>
  </sheetViews>
  <sheetFormatPr baseColWidth="10" defaultRowHeight="14.5" x14ac:dyDescent="0.35"/>
  <cols>
    <col min="1" max="1" width="9.7265625" bestFit="1" customWidth="1"/>
    <col min="2" max="2" width="14" bestFit="1" customWidth="1"/>
    <col min="3" max="3" width="20" style="5" bestFit="1" customWidth="1"/>
    <col min="4" max="4" width="16.1796875" bestFit="1" customWidth="1"/>
    <col min="7" max="7" width="11.1796875" bestFit="1" customWidth="1"/>
  </cols>
  <sheetData>
    <row r="1" spans="1:7" x14ac:dyDescent="0.35">
      <c r="A1" s="1" t="s">
        <v>171</v>
      </c>
      <c r="B1" s="1" t="s">
        <v>0</v>
      </c>
      <c r="C1" s="1" t="s">
        <v>1</v>
      </c>
      <c r="D1" s="6" t="s">
        <v>229</v>
      </c>
      <c r="F1" s="24" t="s">
        <v>243</v>
      </c>
      <c r="G1" s="24" t="s">
        <v>244</v>
      </c>
    </row>
    <row r="2" spans="1:7" x14ac:dyDescent="0.35">
      <c r="A2" s="1">
        <v>1</v>
      </c>
      <c r="B2" s="1">
        <v>1</v>
      </c>
      <c r="C2" s="1" t="s">
        <v>39</v>
      </c>
      <c r="D2" s="3" t="str">
        <f t="shared" ref="D2:D49" si="0">HYPERLINK("http://"&amp;"10"&amp;"."&amp;"1"&amp;"."&amp;VALUE(B2)&amp;"."&amp;"100")</f>
        <v>http://10.1.1.100</v>
      </c>
      <c r="F2" s="25" t="str">
        <f t="array" ref="F2">RIGHT(D2,10)</f>
        <v>10.1.1.100</v>
      </c>
      <c r="G2" s="25" t="str">
        <f t="array" ref="G2">IF(LEFT(F2)="1",RIGHT(D2,10),RIGHT(D2,11))</f>
        <v>10.1.1.100</v>
      </c>
    </row>
    <row r="3" spans="1:7" x14ac:dyDescent="0.35">
      <c r="A3" s="1">
        <v>1</v>
      </c>
      <c r="B3" s="1">
        <v>2</v>
      </c>
      <c r="C3" s="1" t="s">
        <v>40</v>
      </c>
      <c r="D3" s="4" t="str">
        <f t="shared" si="0"/>
        <v>http://10.1.2.100</v>
      </c>
      <c r="F3" s="25" t="str">
        <f t="array" ref="F3">RIGHT(D3,10)</f>
        <v>10.1.2.100</v>
      </c>
      <c r="G3" s="25" t="str">
        <f t="array" ref="G3">IF(LEFT(F3)="1",RIGHT(D3,10),RIGHT(D3,11))</f>
        <v>10.1.2.100</v>
      </c>
    </row>
    <row r="4" spans="1:7" x14ac:dyDescent="0.35">
      <c r="A4" s="1">
        <v>1</v>
      </c>
      <c r="B4" s="1">
        <v>3</v>
      </c>
      <c r="C4" s="1" t="s">
        <v>41</v>
      </c>
      <c r="D4" s="4" t="str">
        <f t="shared" si="0"/>
        <v>http://10.1.3.100</v>
      </c>
      <c r="F4" s="25" t="str">
        <f t="array" ref="F4">RIGHT(D4,10)</f>
        <v>10.1.3.100</v>
      </c>
      <c r="G4" s="25" t="str">
        <f t="array" ref="G4">IF(LEFT(F4)="1",RIGHT(D4,10),RIGHT(D4,11))</f>
        <v>10.1.3.100</v>
      </c>
    </row>
    <row r="5" spans="1:7" x14ac:dyDescent="0.35">
      <c r="A5" s="1">
        <v>1</v>
      </c>
      <c r="B5" s="1">
        <v>4</v>
      </c>
      <c r="C5" s="1" t="s">
        <v>42</v>
      </c>
      <c r="D5" s="4" t="str">
        <f t="shared" si="0"/>
        <v>http://10.1.4.100</v>
      </c>
      <c r="F5" s="25" t="str">
        <f t="array" ref="F5">RIGHT(D5,10)</f>
        <v>10.1.4.100</v>
      </c>
      <c r="G5" s="25" t="str">
        <f t="array" ref="G5">IF(LEFT(F5)="1",RIGHT(D5,10),RIGHT(D5,11))</f>
        <v>10.1.4.100</v>
      </c>
    </row>
    <row r="6" spans="1:7" x14ac:dyDescent="0.35">
      <c r="A6" s="1">
        <v>1</v>
      </c>
      <c r="B6" s="1">
        <v>5</v>
      </c>
      <c r="C6" s="1" t="s">
        <v>43</v>
      </c>
      <c r="D6" s="4" t="str">
        <f t="shared" si="0"/>
        <v>http://10.1.5.100</v>
      </c>
      <c r="F6" s="25" t="str">
        <f t="array" ref="F6">RIGHT(D6,10)</f>
        <v>10.1.5.100</v>
      </c>
      <c r="G6" s="25" t="str">
        <f t="array" ref="G6">IF(LEFT(F6)="1",RIGHT(D6,10),RIGHT(D6,11))</f>
        <v>10.1.5.100</v>
      </c>
    </row>
    <row r="7" spans="1:7" x14ac:dyDescent="0.35">
      <c r="A7" s="1">
        <v>1</v>
      </c>
      <c r="B7" s="1">
        <v>6</v>
      </c>
      <c r="C7" s="1" t="s">
        <v>44</v>
      </c>
      <c r="D7" s="4" t="str">
        <f t="shared" si="0"/>
        <v>http://10.1.6.100</v>
      </c>
      <c r="F7" s="25" t="str">
        <f t="array" ref="F7">RIGHT(D7,10)</f>
        <v>10.1.6.100</v>
      </c>
      <c r="G7" s="25" t="str">
        <f t="array" ref="G7">IF(LEFT(F7)="1",RIGHT(D7,10),RIGHT(D7,11))</f>
        <v>10.1.6.100</v>
      </c>
    </row>
    <row r="8" spans="1:7" x14ac:dyDescent="0.35">
      <c r="A8" s="1">
        <v>1</v>
      </c>
      <c r="B8" s="1">
        <v>7</v>
      </c>
      <c r="C8" s="1" t="s">
        <v>45</v>
      </c>
      <c r="D8" s="4" t="str">
        <f t="shared" si="0"/>
        <v>http://10.1.7.100</v>
      </c>
      <c r="F8" s="25" t="str">
        <f t="array" ref="F8">RIGHT(D8,10)</f>
        <v>10.1.7.100</v>
      </c>
      <c r="G8" s="25" t="str">
        <f t="array" ref="G8">IF(LEFT(F8)="1",RIGHT(D8,10),RIGHT(D8,11))</f>
        <v>10.1.7.100</v>
      </c>
    </row>
    <row r="9" spans="1:7" x14ac:dyDescent="0.35">
      <c r="A9" s="1">
        <v>1</v>
      </c>
      <c r="B9" s="1">
        <v>8</v>
      </c>
      <c r="C9" s="1" t="s">
        <v>46</v>
      </c>
      <c r="D9" s="4" t="str">
        <f t="shared" si="0"/>
        <v>http://10.1.8.100</v>
      </c>
      <c r="F9" s="25" t="str">
        <f t="array" ref="F9">RIGHT(D9,10)</f>
        <v>10.1.8.100</v>
      </c>
      <c r="G9" s="25" t="str">
        <f t="array" ref="G9">IF(LEFT(F9)="1",RIGHT(D9,10),RIGHT(D9,11))</f>
        <v>10.1.8.100</v>
      </c>
    </row>
    <row r="10" spans="1:7" x14ac:dyDescent="0.35">
      <c r="A10" s="1">
        <v>1</v>
      </c>
      <c r="B10" s="1">
        <v>9</v>
      </c>
      <c r="C10" s="1" t="s">
        <v>47</v>
      </c>
      <c r="D10" s="4" t="str">
        <f t="shared" si="0"/>
        <v>http://10.1.9.100</v>
      </c>
      <c r="F10" s="25" t="str">
        <f t="array" ref="F10">RIGHT(D10,10)</f>
        <v>10.1.9.100</v>
      </c>
      <c r="G10" s="25" t="str">
        <f t="array" ref="G10">IF(LEFT(F10)="1",RIGHT(D10,10),RIGHT(D10,11))</f>
        <v>10.1.9.100</v>
      </c>
    </row>
    <row r="11" spans="1:7" x14ac:dyDescent="0.35">
      <c r="A11" s="1">
        <v>1</v>
      </c>
      <c r="B11" s="1">
        <v>10</v>
      </c>
      <c r="C11" s="1" t="s">
        <v>48</v>
      </c>
      <c r="D11" s="4" t="str">
        <f t="shared" si="0"/>
        <v>http://10.1.10.100</v>
      </c>
      <c r="F11" s="25" t="str">
        <f t="array" ref="F11">RIGHT(D11,10)</f>
        <v>0.1.10.100</v>
      </c>
      <c r="G11" s="25" t="str">
        <f t="array" ref="G11">IF(LEFT(F11)="1",RIGHT(D11,10),RIGHT(D11,11))</f>
        <v>10.1.10.100</v>
      </c>
    </row>
    <row r="12" spans="1:7" x14ac:dyDescent="0.35">
      <c r="A12" s="1">
        <v>1</v>
      </c>
      <c r="B12" s="1">
        <v>11</v>
      </c>
      <c r="C12" s="1" t="s">
        <v>49</v>
      </c>
      <c r="D12" s="4" t="str">
        <f t="shared" si="0"/>
        <v>http://10.1.11.100</v>
      </c>
      <c r="F12" s="25" t="str">
        <f t="array" ref="F12">RIGHT(D12,10)</f>
        <v>0.1.11.100</v>
      </c>
      <c r="G12" s="25" t="str">
        <f t="array" ref="G12">IF(LEFT(F12)="1",RIGHT(D12,10),RIGHT(D12,11))</f>
        <v>10.1.11.100</v>
      </c>
    </row>
    <row r="13" spans="1:7" x14ac:dyDescent="0.35">
      <c r="A13" s="1">
        <v>1</v>
      </c>
      <c r="B13" s="1">
        <v>12</v>
      </c>
      <c r="C13" s="1" t="s">
        <v>50</v>
      </c>
      <c r="D13" s="4" t="str">
        <f t="shared" si="0"/>
        <v>http://10.1.12.100</v>
      </c>
      <c r="F13" s="25" t="str">
        <f t="array" ref="F13">RIGHT(D13,10)</f>
        <v>0.1.12.100</v>
      </c>
      <c r="G13" s="25" t="str">
        <f t="array" ref="G13">IF(LEFT(F13)="1",RIGHT(D13,10),RIGHT(D13,11))</f>
        <v>10.1.12.100</v>
      </c>
    </row>
    <row r="14" spans="1:7" x14ac:dyDescent="0.35">
      <c r="A14" s="1">
        <v>1</v>
      </c>
      <c r="B14" s="1">
        <v>13</v>
      </c>
      <c r="C14" s="1" t="s">
        <v>51</v>
      </c>
      <c r="D14" s="4" t="str">
        <f t="shared" si="0"/>
        <v>http://10.1.13.100</v>
      </c>
      <c r="F14" s="25" t="str">
        <f t="array" ref="F14">RIGHT(D14,10)</f>
        <v>0.1.13.100</v>
      </c>
      <c r="G14" s="25" t="str">
        <f t="array" ref="G14">IF(LEFT(F14)="1",RIGHT(D14,10),RIGHT(D14,11))</f>
        <v>10.1.13.100</v>
      </c>
    </row>
    <row r="15" spans="1:7" x14ac:dyDescent="0.35">
      <c r="A15" s="1">
        <v>1</v>
      </c>
      <c r="B15" s="1">
        <v>14</v>
      </c>
      <c r="C15" s="1" t="s">
        <v>52</v>
      </c>
      <c r="D15" s="4" t="str">
        <f t="shared" si="0"/>
        <v>http://10.1.14.100</v>
      </c>
      <c r="F15" s="25" t="str">
        <f t="array" ref="F15">RIGHT(D15,10)</f>
        <v>0.1.14.100</v>
      </c>
      <c r="G15" s="25" t="str">
        <f t="array" ref="G15">IF(LEFT(F15)="1",RIGHT(D15,10),RIGHT(D15,11))</f>
        <v>10.1.14.100</v>
      </c>
    </row>
    <row r="16" spans="1:7" x14ac:dyDescent="0.35">
      <c r="A16" s="1">
        <v>1</v>
      </c>
      <c r="B16" s="1">
        <v>15</v>
      </c>
      <c r="C16" s="1" t="s">
        <v>53</v>
      </c>
      <c r="D16" s="4" t="str">
        <f t="shared" si="0"/>
        <v>http://10.1.15.100</v>
      </c>
      <c r="F16" s="25" t="str">
        <f t="array" ref="F16">RIGHT(D16,10)</f>
        <v>0.1.15.100</v>
      </c>
      <c r="G16" s="25" t="str">
        <f t="array" ref="G16">IF(LEFT(F16)="1",RIGHT(D16,10),RIGHT(D16,11))</f>
        <v>10.1.15.100</v>
      </c>
    </row>
    <row r="17" spans="1:7" x14ac:dyDescent="0.35">
      <c r="A17" s="1">
        <v>1</v>
      </c>
      <c r="B17" s="1">
        <v>16</v>
      </c>
      <c r="C17" s="1" t="s">
        <v>54</v>
      </c>
      <c r="D17" s="4" t="str">
        <f t="shared" si="0"/>
        <v>http://10.1.16.100</v>
      </c>
      <c r="F17" s="25" t="str">
        <f t="array" ref="F17">RIGHT(D17,10)</f>
        <v>0.1.16.100</v>
      </c>
      <c r="G17" s="25" t="str">
        <f t="array" ref="G17">IF(LEFT(F17)="1",RIGHT(D17,10),RIGHT(D17,11))</f>
        <v>10.1.16.100</v>
      </c>
    </row>
    <row r="18" spans="1:7" x14ac:dyDescent="0.35">
      <c r="A18" s="1">
        <v>1</v>
      </c>
      <c r="B18" s="1">
        <v>17</v>
      </c>
      <c r="C18" s="1" t="s">
        <v>55</v>
      </c>
      <c r="D18" s="4" t="str">
        <f t="shared" si="0"/>
        <v>http://10.1.17.100</v>
      </c>
      <c r="F18" s="25" t="str">
        <f t="array" ref="F18">RIGHT(D18,10)</f>
        <v>0.1.17.100</v>
      </c>
      <c r="G18" s="25" t="str">
        <f t="array" ref="G18">IF(LEFT(F18)="1",RIGHT(D18,10),RIGHT(D18,11))</f>
        <v>10.1.17.100</v>
      </c>
    </row>
    <row r="19" spans="1:7" x14ac:dyDescent="0.35">
      <c r="A19" s="1">
        <v>1</v>
      </c>
      <c r="B19" s="1">
        <v>18</v>
      </c>
      <c r="C19" s="1" t="s">
        <v>56</v>
      </c>
      <c r="D19" s="4" t="str">
        <f t="shared" si="0"/>
        <v>http://10.1.18.100</v>
      </c>
      <c r="F19" s="25" t="str">
        <f t="array" ref="F19">RIGHT(D19,10)</f>
        <v>0.1.18.100</v>
      </c>
      <c r="G19" s="25" t="str">
        <f t="array" ref="G19">IF(LEFT(F19)="1",RIGHT(D19,10),RIGHT(D19,11))</f>
        <v>10.1.18.100</v>
      </c>
    </row>
    <row r="20" spans="1:7" x14ac:dyDescent="0.35">
      <c r="A20" s="1">
        <v>1</v>
      </c>
      <c r="B20" s="1">
        <v>19</v>
      </c>
      <c r="C20" s="1" t="s">
        <v>57</v>
      </c>
      <c r="D20" s="4" t="str">
        <f t="shared" si="0"/>
        <v>http://10.1.19.100</v>
      </c>
      <c r="F20" s="25" t="str">
        <f t="array" ref="F20">RIGHT(D20,10)</f>
        <v>0.1.19.100</v>
      </c>
      <c r="G20" s="25" t="str">
        <f t="array" ref="G20">IF(LEFT(F20)="1",RIGHT(D20,10),RIGHT(D20,11))</f>
        <v>10.1.19.100</v>
      </c>
    </row>
    <row r="21" spans="1:7" x14ac:dyDescent="0.35">
      <c r="A21" s="1">
        <v>1</v>
      </c>
      <c r="B21" s="1">
        <v>20</v>
      </c>
      <c r="C21" s="1" t="s">
        <v>58</v>
      </c>
      <c r="D21" s="4" t="str">
        <f t="shared" si="0"/>
        <v>http://10.1.20.100</v>
      </c>
      <c r="F21" s="25" t="str">
        <f t="array" ref="F21">RIGHT(D21,10)</f>
        <v>0.1.20.100</v>
      </c>
      <c r="G21" s="25" t="str">
        <f t="array" ref="G21">IF(LEFT(F21)="1",RIGHT(D21,10),RIGHT(D21,11))</f>
        <v>10.1.20.100</v>
      </c>
    </row>
    <row r="22" spans="1:7" x14ac:dyDescent="0.35">
      <c r="A22" s="1">
        <v>1</v>
      </c>
      <c r="B22" s="1">
        <v>21</v>
      </c>
      <c r="C22" s="1" t="s">
        <v>8</v>
      </c>
      <c r="D22" s="4" t="str">
        <f t="shared" si="0"/>
        <v>http://10.1.21.100</v>
      </c>
      <c r="F22" s="25" t="str">
        <f t="array" ref="F22">RIGHT(D22,10)</f>
        <v>0.1.21.100</v>
      </c>
      <c r="G22" s="25" t="str">
        <f t="array" ref="G22">IF(LEFT(F22)="1",RIGHT(D22,10),RIGHT(D22,11))</f>
        <v>10.1.21.100</v>
      </c>
    </row>
    <row r="23" spans="1:7" x14ac:dyDescent="0.35">
      <c r="A23" s="1">
        <v>1</v>
      </c>
      <c r="B23" s="1">
        <v>22</v>
      </c>
      <c r="C23" s="1" t="s">
        <v>59</v>
      </c>
      <c r="D23" s="4" t="str">
        <f t="shared" si="0"/>
        <v>http://10.1.22.100</v>
      </c>
      <c r="F23" s="25" t="str">
        <f t="array" ref="F23">RIGHT(D23,10)</f>
        <v>0.1.22.100</v>
      </c>
      <c r="G23" s="25" t="str">
        <f t="array" ref="G23">IF(LEFT(F23)="1",RIGHT(D23,10),RIGHT(D23,11))</f>
        <v>10.1.22.100</v>
      </c>
    </row>
    <row r="24" spans="1:7" x14ac:dyDescent="0.35">
      <c r="A24" s="1">
        <v>1</v>
      </c>
      <c r="B24" s="1">
        <v>23</v>
      </c>
      <c r="C24" s="1" t="s">
        <v>60</v>
      </c>
      <c r="D24" s="4" t="str">
        <f t="shared" si="0"/>
        <v>http://10.1.23.100</v>
      </c>
      <c r="F24" s="25" t="str">
        <f t="array" ref="F24">RIGHT(D24,10)</f>
        <v>0.1.23.100</v>
      </c>
      <c r="G24" s="25" t="str">
        <f t="array" ref="G24">IF(LEFT(F24)="1",RIGHT(D24,10),RIGHT(D24,11))</f>
        <v>10.1.23.100</v>
      </c>
    </row>
    <row r="25" spans="1:7" x14ac:dyDescent="0.35">
      <c r="A25" s="1">
        <v>1</v>
      </c>
      <c r="B25" s="1">
        <v>24</v>
      </c>
      <c r="C25" s="1" t="s">
        <v>61</v>
      </c>
      <c r="D25" s="4" t="str">
        <f t="shared" si="0"/>
        <v>http://10.1.24.100</v>
      </c>
      <c r="F25" s="25" t="str">
        <f t="array" ref="F25">RIGHT(D25,10)</f>
        <v>0.1.24.100</v>
      </c>
      <c r="G25" s="25" t="str">
        <f t="array" ref="G25">IF(LEFT(F25)="1",RIGHT(D25,10),RIGHT(D25,11))</f>
        <v>10.1.24.100</v>
      </c>
    </row>
    <row r="26" spans="1:7" x14ac:dyDescent="0.35">
      <c r="A26" s="1">
        <v>1</v>
      </c>
      <c r="B26" s="1">
        <v>25</v>
      </c>
      <c r="C26" s="1" t="s">
        <v>62</v>
      </c>
      <c r="D26" s="4" t="str">
        <f t="shared" si="0"/>
        <v>http://10.1.25.100</v>
      </c>
      <c r="F26" s="25" t="str">
        <f t="array" ref="F26">RIGHT(D26,10)</f>
        <v>0.1.25.100</v>
      </c>
      <c r="G26" s="25" t="str">
        <f t="array" ref="G26">IF(LEFT(F26)="1",RIGHT(D26,10),RIGHT(D26,11))</f>
        <v>10.1.25.100</v>
      </c>
    </row>
    <row r="27" spans="1:7" x14ac:dyDescent="0.35">
      <c r="A27" s="1">
        <v>1</v>
      </c>
      <c r="B27" s="1">
        <v>26</v>
      </c>
      <c r="C27" s="1" t="s">
        <v>63</v>
      </c>
      <c r="D27" s="4" t="str">
        <f t="shared" si="0"/>
        <v>http://10.1.26.100</v>
      </c>
      <c r="F27" s="25" t="str">
        <f t="array" ref="F27">RIGHT(D27,10)</f>
        <v>0.1.26.100</v>
      </c>
      <c r="G27" s="25" t="str">
        <f t="array" ref="G27">IF(LEFT(F27)="1",RIGHT(D27,10),RIGHT(D27,11))</f>
        <v>10.1.26.100</v>
      </c>
    </row>
    <row r="28" spans="1:7" x14ac:dyDescent="0.35">
      <c r="A28" s="1">
        <v>1</v>
      </c>
      <c r="B28" s="1">
        <v>27</v>
      </c>
      <c r="C28" s="1" t="s">
        <v>64</v>
      </c>
      <c r="D28" s="4" t="str">
        <f t="shared" si="0"/>
        <v>http://10.1.27.100</v>
      </c>
      <c r="F28" s="25" t="str">
        <f t="array" ref="F28">RIGHT(D28,10)</f>
        <v>0.1.27.100</v>
      </c>
      <c r="G28" s="25" t="str">
        <f t="array" ref="G28">IF(LEFT(F28)="1",RIGHT(D28,10),RIGHT(D28,11))</f>
        <v>10.1.27.100</v>
      </c>
    </row>
    <row r="29" spans="1:7" x14ac:dyDescent="0.35">
      <c r="A29" s="1">
        <v>1</v>
      </c>
      <c r="B29" s="1">
        <v>28</v>
      </c>
      <c r="C29" s="1" t="s">
        <v>65</v>
      </c>
      <c r="D29" s="4" t="str">
        <f t="shared" si="0"/>
        <v>http://10.1.28.100</v>
      </c>
      <c r="F29" s="25" t="str">
        <f t="array" ref="F29">RIGHT(D29,10)</f>
        <v>0.1.28.100</v>
      </c>
      <c r="G29" s="25" t="str">
        <f t="array" ref="G29">IF(LEFT(F29)="1",RIGHT(D29,10),RIGHT(D29,11))</f>
        <v>10.1.28.100</v>
      </c>
    </row>
    <row r="30" spans="1:7" x14ac:dyDescent="0.35">
      <c r="A30" s="1">
        <v>1</v>
      </c>
      <c r="B30" s="1">
        <v>29</v>
      </c>
      <c r="C30" s="1" t="s">
        <v>66</v>
      </c>
      <c r="D30" s="4" t="str">
        <f t="shared" si="0"/>
        <v>http://10.1.29.100</v>
      </c>
      <c r="F30" s="25" t="str">
        <f t="array" ref="F30">RIGHT(D30,10)</f>
        <v>0.1.29.100</v>
      </c>
      <c r="G30" s="25" t="str">
        <f t="array" ref="G30">IF(LEFT(F30)="1",RIGHT(D30,10),RIGHT(D30,11))</f>
        <v>10.1.29.100</v>
      </c>
    </row>
    <row r="31" spans="1:7" x14ac:dyDescent="0.35">
      <c r="A31" s="1">
        <v>1</v>
      </c>
      <c r="B31" s="1">
        <v>30</v>
      </c>
      <c r="C31" s="1" t="s">
        <v>67</v>
      </c>
      <c r="D31" s="4" t="str">
        <f t="shared" si="0"/>
        <v>http://10.1.30.100</v>
      </c>
      <c r="F31" s="25" t="str">
        <f t="array" ref="F31">RIGHT(D31,10)</f>
        <v>0.1.30.100</v>
      </c>
      <c r="G31" s="25" t="str">
        <f t="array" ref="G31">IF(LEFT(F31)="1",RIGHT(D31,10),RIGHT(D31,11))</f>
        <v>10.1.30.100</v>
      </c>
    </row>
    <row r="32" spans="1:7" x14ac:dyDescent="0.35">
      <c r="A32" s="1">
        <v>1</v>
      </c>
      <c r="B32" s="1">
        <v>31</v>
      </c>
      <c r="C32" s="1" t="s">
        <v>68</v>
      </c>
      <c r="D32" s="4" t="str">
        <f t="shared" si="0"/>
        <v>http://10.1.31.100</v>
      </c>
      <c r="F32" s="25" t="str">
        <f t="array" ref="F32">RIGHT(D32,10)</f>
        <v>0.1.31.100</v>
      </c>
      <c r="G32" s="25" t="str">
        <f t="array" ref="G32">IF(LEFT(F32)="1",RIGHT(D32,10),RIGHT(D32,11))</f>
        <v>10.1.31.100</v>
      </c>
    </row>
    <row r="33" spans="1:7" x14ac:dyDescent="0.35">
      <c r="A33" s="1">
        <v>1</v>
      </c>
      <c r="B33" s="1">
        <v>32</v>
      </c>
      <c r="C33" s="1" t="s">
        <v>69</v>
      </c>
      <c r="D33" s="4" t="str">
        <f t="shared" si="0"/>
        <v>http://10.1.32.100</v>
      </c>
      <c r="F33" s="25" t="str">
        <f t="array" ref="F33">RIGHT(D33,10)</f>
        <v>0.1.32.100</v>
      </c>
      <c r="G33" s="25" t="str">
        <f t="array" ref="G33">IF(LEFT(F33)="1",RIGHT(D33,10),RIGHT(D33,11))</f>
        <v>10.1.32.100</v>
      </c>
    </row>
    <row r="34" spans="1:7" x14ac:dyDescent="0.35">
      <c r="A34" s="1">
        <v>1</v>
      </c>
      <c r="B34" s="1">
        <v>33</v>
      </c>
      <c r="C34" s="1" t="s">
        <v>70</v>
      </c>
      <c r="D34" s="4" t="str">
        <f t="shared" si="0"/>
        <v>http://10.1.33.100</v>
      </c>
      <c r="F34" s="25" t="str">
        <f t="array" ref="F34">RIGHT(D34,10)</f>
        <v>0.1.33.100</v>
      </c>
      <c r="G34" s="25" t="str">
        <f t="array" ref="G34">IF(LEFT(F34)="1",RIGHT(D34,10),RIGHT(D34,11))</f>
        <v>10.1.33.100</v>
      </c>
    </row>
    <row r="35" spans="1:7" x14ac:dyDescent="0.35">
      <c r="A35" s="1">
        <v>1</v>
      </c>
      <c r="B35" s="1">
        <v>34</v>
      </c>
      <c r="C35" s="1" t="s">
        <v>71</v>
      </c>
      <c r="D35" s="4" t="str">
        <f t="shared" si="0"/>
        <v>http://10.1.34.100</v>
      </c>
      <c r="F35" s="25" t="str">
        <f t="array" ref="F35">RIGHT(D35,10)</f>
        <v>0.1.34.100</v>
      </c>
      <c r="G35" s="25" t="str">
        <f t="array" ref="G35">IF(LEFT(F35)="1",RIGHT(D35,10),RIGHT(D35,11))</f>
        <v>10.1.34.100</v>
      </c>
    </row>
    <row r="36" spans="1:7" x14ac:dyDescent="0.35">
      <c r="A36" s="1">
        <v>1</v>
      </c>
      <c r="B36" s="1">
        <v>35</v>
      </c>
      <c r="C36" s="1" t="s">
        <v>72</v>
      </c>
      <c r="D36" s="4" t="str">
        <f t="shared" si="0"/>
        <v>http://10.1.35.100</v>
      </c>
      <c r="F36" s="25" t="str">
        <f t="array" ref="F36">RIGHT(D36,10)</f>
        <v>0.1.35.100</v>
      </c>
      <c r="G36" s="25" t="str">
        <f t="array" ref="G36">IF(LEFT(F36)="1",RIGHT(D36,10),RIGHT(D36,11))</f>
        <v>10.1.35.100</v>
      </c>
    </row>
    <row r="37" spans="1:7" x14ac:dyDescent="0.35">
      <c r="A37" s="1">
        <v>1</v>
      </c>
      <c r="B37" s="1">
        <v>36</v>
      </c>
      <c r="C37" s="1" t="s">
        <v>73</v>
      </c>
      <c r="D37" s="4" t="str">
        <f t="shared" si="0"/>
        <v>http://10.1.36.100</v>
      </c>
      <c r="F37" s="25" t="str">
        <f t="array" ref="F37">RIGHT(D37,10)</f>
        <v>0.1.36.100</v>
      </c>
      <c r="G37" s="25" t="str">
        <f t="array" ref="G37">IF(LEFT(F37)="1",RIGHT(D37,10),RIGHT(D37,11))</f>
        <v>10.1.36.100</v>
      </c>
    </row>
    <row r="38" spans="1:7" x14ac:dyDescent="0.35">
      <c r="A38" s="1">
        <v>1</v>
      </c>
      <c r="B38" s="1">
        <v>37</v>
      </c>
      <c r="C38" s="1" t="s">
        <v>74</v>
      </c>
      <c r="D38" s="4" t="str">
        <f t="shared" si="0"/>
        <v>http://10.1.37.100</v>
      </c>
      <c r="F38" s="25" t="str">
        <f t="array" ref="F38">RIGHT(D38,10)</f>
        <v>0.1.37.100</v>
      </c>
      <c r="G38" s="25" t="str">
        <f t="array" ref="G38">IF(LEFT(F38)="1",RIGHT(D38,10),RIGHT(D38,11))</f>
        <v>10.1.37.100</v>
      </c>
    </row>
    <row r="39" spans="1:7" x14ac:dyDescent="0.35">
      <c r="A39" s="1">
        <v>1</v>
      </c>
      <c r="B39" s="1">
        <v>38</v>
      </c>
      <c r="C39" s="1" t="s">
        <v>75</v>
      </c>
      <c r="D39" s="4" t="str">
        <f t="shared" si="0"/>
        <v>http://10.1.38.100</v>
      </c>
      <c r="F39" s="25" t="str">
        <f t="array" ref="F39">RIGHT(D39,10)</f>
        <v>0.1.38.100</v>
      </c>
      <c r="G39" s="25" t="str">
        <f t="array" ref="G39">IF(LEFT(F39)="1",RIGHT(D39,10),RIGHT(D39,11))</f>
        <v>10.1.38.100</v>
      </c>
    </row>
    <row r="40" spans="1:7" x14ac:dyDescent="0.35">
      <c r="A40" s="1">
        <v>1</v>
      </c>
      <c r="B40" s="1">
        <v>39</v>
      </c>
      <c r="C40" s="1" t="s">
        <v>76</v>
      </c>
      <c r="D40" s="4" t="str">
        <f t="shared" si="0"/>
        <v>http://10.1.39.100</v>
      </c>
      <c r="F40" s="25" t="str">
        <f t="array" ref="F40">RIGHT(D40,10)</f>
        <v>0.1.39.100</v>
      </c>
      <c r="G40" s="25" t="str">
        <f t="array" ref="G40">IF(LEFT(F40)="1",RIGHT(D40,10),RIGHT(D40,11))</f>
        <v>10.1.39.100</v>
      </c>
    </row>
    <row r="41" spans="1:7" x14ac:dyDescent="0.35">
      <c r="A41" s="1">
        <v>1</v>
      </c>
      <c r="B41" s="1">
        <v>40</v>
      </c>
      <c r="C41" s="1" t="s">
        <v>77</v>
      </c>
      <c r="D41" s="4" t="str">
        <f t="shared" si="0"/>
        <v>http://10.1.40.100</v>
      </c>
      <c r="F41" s="25" t="str">
        <f t="array" ref="F41">RIGHT(D41,10)</f>
        <v>0.1.40.100</v>
      </c>
      <c r="G41" s="25" t="str">
        <f t="array" ref="G41">IF(LEFT(F41)="1",RIGHT(D41,10),RIGHT(D41,11))</f>
        <v>10.1.40.100</v>
      </c>
    </row>
    <row r="42" spans="1:7" x14ac:dyDescent="0.35">
      <c r="A42" s="1">
        <v>1</v>
      </c>
      <c r="B42" s="1">
        <v>41</v>
      </c>
      <c r="C42" s="1" t="s">
        <v>78</v>
      </c>
      <c r="D42" s="4" t="str">
        <f t="shared" si="0"/>
        <v>http://10.1.41.100</v>
      </c>
      <c r="F42" s="25" t="str">
        <f t="array" ref="F42">RIGHT(D42,10)</f>
        <v>0.1.41.100</v>
      </c>
      <c r="G42" s="25" t="str">
        <f t="array" ref="G42">IF(LEFT(F42)="1",RIGHT(D42,10),RIGHT(D42,11))</f>
        <v>10.1.41.100</v>
      </c>
    </row>
    <row r="43" spans="1:7" x14ac:dyDescent="0.35">
      <c r="A43" s="1">
        <v>1</v>
      </c>
      <c r="B43" s="1">
        <v>42</v>
      </c>
      <c r="C43" s="1" t="s">
        <v>79</v>
      </c>
      <c r="D43" s="4" t="str">
        <f t="shared" si="0"/>
        <v>http://10.1.42.100</v>
      </c>
      <c r="F43" s="25" t="str">
        <f t="array" ref="F43">RIGHT(D43,10)</f>
        <v>0.1.42.100</v>
      </c>
      <c r="G43" s="25" t="str">
        <f t="array" ref="G43">IF(LEFT(F43)="1",RIGHT(D43,10),RIGHT(D43,11))</f>
        <v>10.1.42.100</v>
      </c>
    </row>
    <row r="44" spans="1:7" x14ac:dyDescent="0.35">
      <c r="A44" s="1">
        <v>1</v>
      </c>
      <c r="B44" s="1">
        <v>43</v>
      </c>
      <c r="C44" s="1" t="s">
        <v>80</v>
      </c>
      <c r="D44" s="4" t="str">
        <f t="shared" si="0"/>
        <v>http://10.1.43.100</v>
      </c>
      <c r="F44" s="25" t="str">
        <f t="array" ref="F44">RIGHT(D44,10)</f>
        <v>0.1.43.100</v>
      </c>
      <c r="G44" s="25" t="str">
        <f t="array" ref="G44">IF(LEFT(F44)="1",RIGHT(D44,10),RIGHT(D44,11))</f>
        <v>10.1.43.100</v>
      </c>
    </row>
    <row r="45" spans="1:7" x14ac:dyDescent="0.35">
      <c r="A45" s="1">
        <v>1</v>
      </c>
      <c r="B45" s="1">
        <v>44</v>
      </c>
      <c r="C45" s="1" t="s">
        <v>81</v>
      </c>
      <c r="D45" s="4" t="str">
        <f t="shared" si="0"/>
        <v>http://10.1.44.100</v>
      </c>
      <c r="F45" s="25" t="str">
        <f t="array" ref="F45">RIGHT(D45,10)</f>
        <v>0.1.44.100</v>
      </c>
      <c r="G45" s="25" t="str">
        <f t="array" ref="G45">IF(LEFT(F45)="1",RIGHT(D45,10),RIGHT(D45,11))</f>
        <v>10.1.44.100</v>
      </c>
    </row>
    <row r="46" spans="1:7" x14ac:dyDescent="0.35">
      <c r="A46" s="1">
        <v>1</v>
      </c>
      <c r="B46" s="1">
        <v>45</v>
      </c>
      <c r="C46" s="1" t="s">
        <v>82</v>
      </c>
      <c r="D46" s="4" t="str">
        <f t="shared" si="0"/>
        <v>http://10.1.45.100</v>
      </c>
      <c r="F46" s="25" t="str">
        <f t="array" ref="F46">RIGHT(D46,10)</f>
        <v>0.1.45.100</v>
      </c>
      <c r="G46" s="25" t="str">
        <f t="array" ref="G46">IF(LEFT(F46)="1",RIGHT(D46,10),RIGHT(D46,11))</f>
        <v>10.1.45.100</v>
      </c>
    </row>
    <row r="47" spans="1:7" x14ac:dyDescent="0.35">
      <c r="A47" s="1">
        <v>1</v>
      </c>
      <c r="B47" s="1">
        <v>46</v>
      </c>
      <c r="C47" s="1" t="s">
        <v>83</v>
      </c>
      <c r="D47" s="4" t="str">
        <f t="shared" si="0"/>
        <v>http://10.1.46.100</v>
      </c>
      <c r="F47" s="25" t="str">
        <f t="array" ref="F47">RIGHT(D47,10)</f>
        <v>0.1.46.100</v>
      </c>
      <c r="G47" s="25" t="str">
        <f t="array" ref="G47">IF(LEFT(F47)="1",RIGHT(D47,10),RIGHT(D47,11))</f>
        <v>10.1.46.100</v>
      </c>
    </row>
    <row r="48" spans="1:7" x14ac:dyDescent="0.35">
      <c r="A48" s="1">
        <v>1</v>
      </c>
      <c r="B48" s="1">
        <v>47</v>
      </c>
      <c r="C48" s="1" t="s">
        <v>84</v>
      </c>
      <c r="D48" s="4" t="str">
        <f t="shared" si="0"/>
        <v>http://10.1.47.100</v>
      </c>
      <c r="F48" s="25" t="str">
        <f t="array" ref="F48">RIGHT(D48,10)</f>
        <v>0.1.47.100</v>
      </c>
      <c r="G48" s="25" t="str">
        <f t="array" ref="G48">IF(LEFT(F48)="1",RIGHT(D48,10),RIGHT(D48,11))</f>
        <v>10.1.47.100</v>
      </c>
    </row>
    <row r="49" spans="1:7" x14ac:dyDescent="0.35">
      <c r="A49" s="1">
        <v>1</v>
      </c>
      <c r="B49" s="1">
        <v>48</v>
      </c>
      <c r="C49" s="1" t="s">
        <v>85</v>
      </c>
      <c r="D49" s="4" t="str">
        <f t="shared" si="0"/>
        <v>http://10.1.48.100</v>
      </c>
      <c r="F49" s="25" t="str">
        <f t="array" ref="F49">RIGHT(D49,10)</f>
        <v>0.1.48.100</v>
      </c>
      <c r="G49" s="25" t="str">
        <f t="array" ref="G49">IF(LEFT(F49)="1",RIGHT(D49,10),RIGHT(D49,11))</f>
        <v>10.1.48.100</v>
      </c>
    </row>
    <row r="50" spans="1:7" x14ac:dyDescent="0.35">
      <c r="C50"/>
    </row>
    <row r="51" spans="1:7" x14ac:dyDescent="0.35">
      <c r="C51"/>
    </row>
    <row r="52" spans="1:7" x14ac:dyDescent="0.35">
      <c r="C52"/>
    </row>
    <row r="53" spans="1:7" x14ac:dyDescent="0.35">
      <c r="C53"/>
    </row>
    <row r="54" spans="1:7" x14ac:dyDescent="0.35">
      <c r="C54"/>
    </row>
    <row r="55" spans="1:7" x14ac:dyDescent="0.35">
      <c r="C55"/>
    </row>
    <row r="56" spans="1:7" x14ac:dyDescent="0.35">
      <c r="C56"/>
    </row>
    <row r="57" spans="1:7" x14ac:dyDescent="0.35">
      <c r="C57"/>
    </row>
    <row r="58" spans="1:7" x14ac:dyDescent="0.35">
      <c r="C58"/>
    </row>
    <row r="59" spans="1:7" x14ac:dyDescent="0.35">
      <c r="C59"/>
    </row>
    <row r="60" spans="1:7" x14ac:dyDescent="0.35">
      <c r="C60"/>
    </row>
    <row r="61" spans="1:7" x14ac:dyDescent="0.35">
      <c r="C61"/>
    </row>
    <row r="62" spans="1:7" x14ac:dyDescent="0.35">
      <c r="C62"/>
    </row>
    <row r="63" spans="1:7" x14ac:dyDescent="0.35">
      <c r="C63"/>
    </row>
    <row r="64" spans="1:7" x14ac:dyDescent="0.35">
      <c r="C64"/>
    </row>
    <row r="65" spans="3:3" x14ac:dyDescent="0.35">
      <c r="C65"/>
    </row>
    <row r="66" spans="3:3" x14ac:dyDescent="0.35">
      <c r="C66"/>
    </row>
    <row r="67" spans="3:3" x14ac:dyDescent="0.35">
      <c r="C67"/>
    </row>
    <row r="68" spans="3:3" x14ac:dyDescent="0.35">
      <c r="C68"/>
    </row>
    <row r="69" spans="3:3" x14ac:dyDescent="0.35">
      <c r="C69"/>
    </row>
    <row r="70" spans="3:3" x14ac:dyDescent="0.35">
      <c r="C70"/>
    </row>
    <row r="71" spans="3:3" x14ac:dyDescent="0.35">
      <c r="C71"/>
    </row>
    <row r="72" spans="3:3" x14ac:dyDescent="0.35">
      <c r="C72"/>
    </row>
    <row r="73" spans="3:3" x14ac:dyDescent="0.35">
      <c r="C73"/>
    </row>
    <row r="74" spans="3:3" x14ac:dyDescent="0.35">
      <c r="C74"/>
    </row>
    <row r="75" spans="3:3" x14ac:dyDescent="0.35">
      <c r="C75"/>
    </row>
    <row r="76" spans="3:3" x14ac:dyDescent="0.35">
      <c r="C76"/>
    </row>
    <row r="77" spans="3:3" x14ac:dyDescent="0.35">
      <c r="C77"/>
    </row>
    <row r="78" spans="3:3" x14ac:dyDescent="0.35">
      <c r="C78"/>
    </row>
    <row r="79" spans="3:3" x14ac:dyDescent="0.35">
      <c r="C79"/>
    </row>
    <row r="80" spans="3:3" x14ac:dyDescent="0.35">
      <c r="C80"/>
    </row>
    <row r="81" spans="3:3" x14ac:dyDescent="0.35">
      <c r="C81"/>
    </row>
    <row r="82" spans="3:3" x14ac:dyDescent="0.35">
      <c r="C82"/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  <row r="91" spans="3:3" x14ac:dyDescent="0.35">
      <c r="C91"/>
    </row>
    <row r="92" spans="3:3" x14ac:dyDescent="0.35">
      <c r="C92"/>
    </row>
    <row r="93" spans="3:3" x14ac:dyDescent="0.35">
      <c r="C93"/>
    </row>
    <row r="94" spans="3:3" x14ac:dyDescent="0.35">
      <c r="C94"/>
    </row>
    <row r="95" spans="3:3" x14ac:dyDescent="0.35">
      <c r="C95"/>
    </row>
    <row r="96" spans="3:3" x14ac:dyDescent="0.35">
      <c r="C96"/>
    </row>
    <row r="97" spans="3:3" x14ac:dyDescent="0.35">
      <c r="C97"/>
    </row>
    <row r="98" spans="3:3" x14ac:dyDescent="0.35">
      <c r="C98"/>
    </row>
    <row r="99" spans="3:3" x14ac:dyDescent="0.35">
      <c r="C99"/>
    </row>
    <row r="100" spans="3:3" x14ac:dyDescent="0.35">
      <c r="C100"/>
    </row>
    <row r="101" spans="3:3" x14ac:dyDescent="0.35">
      <c r="C101"/>
    </row>
    <row r="102" spans="3:3" x14ac:dyDescent="0.35">
      <c r="C102"/>
    </row>
    <row r="103" spans="3:3" x14ac:dyDescent="0.35">
      <c r="C103"/>
    </row>
    <row r="104" spans="3:3" x14ac:dyDescent="0.35">
      <c r="C104"/>
    </row>
    <row r="105" spans="3:3" x14ac:dyDescent="0.35">
      <c r="C105"/>
    </row>
    <row r="106" spans="3:3" x14ac:dyDescent="0.35">
      <c r="C106"/>
    </row>
    <row r="107" spans="3:3" x14ac:dyDescent="0.35">
      <c r="C107"/>
    </row>
    <row r="108" spans="3:3" x14ac:dyDescent="0.35">
      <c r="C108"/>
    </row>
    <row r="109" spans="3:3" x14ac:dyDescent="0.35">
      <c r="C109"/>
    </row>
    <row r="110" spans="3:3" x14ac:dyDescent="0.35">
      <c r="C110"/>
    </row>
    <row r="111" spans="3:3" x14ac:dyDescent="0.35">
      <c r="C111"/>
    </row>
    <row r="112" spans="3:3" x14ac:dyDescent="0.35">
      <c r="C112"/>
    </row>
    <row r="113" spans="3:3" x14ac:dyDescent="0.35">
      <c r="C113"/>
    </row>
    <row r="114" spans="3:3" x14ac:dyDescent="0.35">
      <c r="C114"/>
    </row>
    <row r="115" spans="3:3" x14ac:dyDescent="0.35">
      <c r="C115"/>
    </row>
    <row r="116" spans="3:3" x14ac:dyDescent="0.35">
      <c r="C116"/>
    </row>
    <row r="117" spans="3:3" x14ac:dyDescent="0.35">
      <c r="C117"/>
    </row>
    <row r="118" spans="3:3" x14ac:dyDescent="0.35">
      <c r="C118"/>
    </row>
    <row r="119" spans="3:3" x14ac:dyDescent="0.35">
      <c r="C119"/>
    </row>
    <row r="120" spans="3:3" x14ac:dyDescent="0.35">
      <c r="C120"/>
    </row>
    <row r="121" spans="3:3" x14ac:dyDescent="0.35">
      <c r="C121"/>
    </row>
    <row r="122" spans="3:3" x14ac:dyDescent="0.35">
      <c r="C122"/>
    </row>
    <row r="123" spans="3:3" x14ac:dyDescent="0.35">
      <c r="C123"/>
    </row>
    <row r="124" spans="3:3" x14ac:dyDescent="0.35">
      <c r="C124"/>
    </row>
    <row r="125" spans="3:3" x14ac:dyDescent="0.35">
      <c r="C125"/>
    </row>
    <row r="126" spans="3:3" x14ac:dyDescent="0.35">
      <c r="C126"/>
    </row>
    <row r="127" spans="3:3" x14ac:dyDescent="0.35">
      <c r="C127"/>
    </row>
    <row r="128" spans="3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</sheetData>
  <conditionalFormatting sqref="B1:B49 B151:B1048576">
    <cfRule type="duplicateValues" dxfId="4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4ACC1-752D-4300-861C-594681953132}">
  <sheetPr codeName="Hoja4"/>
  <dimension ref="A1:G97"/>
  <sheetViews>
    <sheetView topLeftCell="A17" workbookViewId="0">
      <selection activeCell="G2" sqref="G2"/>
    </sheetView>
  </sheetViews>
  <sheetFormatPr baseColWidth="10" defaultRowHeight="14.5" x14ac:dyDescent="0.35"/>
  <cols>
    <col min="1" max="1" width="11.6328125" style="10" bestFit="1" customWidth="1"/>
    <col min="2" max="2" width="14" style="1" bestFit="1" customWidth="1"/>
    <col min="3" max="3" width="23.6328125" style="1" bestFit="1" customWidth="1"/>
    <col min="4" max="4" width="16.1796875" style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2">
        <v>2</v>
      </c>
      <c r="B2" s="2">
        <v>1</v>
      </c>
      <c r="C2" s="2" t="s">
        <v>2</v>
      </c>
      <c r="D2" s="7" t="str">
        <f t="shared" ref="D2:D38" si="0">HYPERLINK("http://10.2."&amp;VALUE(B2)&amp;".100")</f>
        <v>http://10.2.1.100</v>
      </c>
      <c r="F2" t="str">
        <f t="array" ref="F2">RIGHT(D2,10)</f>
        <v>10.2.1.100</v>
      </c>
      <c r="G2" t="str">
        <f t="array" ref="G2">IF(LEFT(F2)="1",RIGHT(D2,10),RIGHT(D2,11))</f>
        <v>10.2.1.100</v>
      </c>
    </row>
    <row r="3" spans="1:7" x14ac:dyDescent="0.35">
      <c r="A3" s="2">
        <v>2</v>
      </c>
      <c r="B3" s="2">
        <v>2</v>
      </c>
      <c r="C3" s="2" t="s">
        <v>3</v>
      </c>
      <c r="D3" s="8" t="str">
        <f t="shared" si="0"/>
        <v>http://10.2.2.100</v>
      </c>
      <c r="F3" t="str">
        <f t="array" ref="F3">RIGHT(D3,10)</f>
        <v>10.2.2.100</v>
      </c>
      <c r="G3" t="str">
        <f t="array" ref="G3">IF(LEFT(F3)="1",RIGHT(D3,10),RIGHT(D3,11))</f>
        <v>10.2.2.100</v>
      </c>
    </row>
    <row r="4" spans="1:7" x14ac:dyDescent="0.35">
      <c r="A4" s="2">
        <v>2</v>
      </c>
      <c r="B4" s="2">
        <v>3</v>
      </c>
      <c r="C4" s="2" t="s">
        <v>4</v>
      </c>
      <c r="D4" s="8" t="str">
        <f t="shared" si="0"/>
        <v>http://10.2.3.100</v>
      </c>
      <c r="F4" t="str">
        <f t="array" ref="F4">RIGHT(D4,10)</f>
        <v>10.2.3.100</v>
      </c>
      <c r="G4" t="str">
        <f t="array" ref="G4">IF(LEFT(F4)="1",RIGHT(D4,10),RIGHT(D4,11))</f>
        <v>10.2.3.100</v>
      </c>
    </row>
    <row r="5" spans="1:7" x14ac:dyDescent="0.35">
      <c r="A5" s="2">
        <v>2</v>
      </c>
      <c r="B5" s="2">
        <v>4</v>
      </c>
      <c r="C5" s="2" t="s">
        <v>5</v>
      </c>
      <c r="D5" s="8" t="str">
        <f t="shared" si="0"/>
        <v>http://10.2.4.100</v>
      </c>
      <c r="F5" t="str">
        <f t="array" ref="F5">RIGHT(D5,10)</f>
        <v>10.2.4.100</v>
      </c>
      <c r="G5" t="str">
        <f t="array" ref="G5">IF(LEFT(F5)="1",RIGHT(D5,10),RIGHT(D5,11))</f>
        <v>10.2.4.100</v>
      </c>
    </row>
    <row r="6" spans="1:7" x14ac:dyDescent="0.35">
      <c r="A6" s="2">
        <v>2</v>
      </c>
      <c r="B6" s="2">
        <v>5</v>
      </c>
      <c r="C6" s="2" t="s">
        <v>6</v>
      </c>
      <c r="D6" s="8" t="str">
        <f t="shared" si="0"/>
        <v>http://10.2.5.100</v>
      </c>
      <c r="F6" t="str">
        <f t="array" ref="F6">RIGHT(D6,10)</f>
        <v>10.2.5.100</v>
      </c>
      <c r="G6" t="str">
        <f t="array" ref="G6">IF(LEFT(F6)="1",RIGHT(D6,10),RIGHT(D6,11))</f>
        <v>10.2.5.100</v>
      </c>
    </row>
    <row r="7" spans="1:7" x14ac:dyDescent="0.35">
      <c r="A7" s="2">
        <v>2</v>
      </c>
      <c r="B7" s="2">
        <v>6</v>
      </c>
      <c r="C7" s="2" t="s">
        <v>7</v>
      </c>
      <c r="D7" s="8" t="str">
        <f t="shared" si="0"/>
        <v>http://10.2.6.100</v>
      </c>
      <c r="F7" t="str">
        <f t="array" ref="F7">RIGHT(D7,10)</f>
        <v>10.2.6.100</v>
      </c>
      <c r="G7" t="str">
        <f t="array" ref="G7">IF(LEFT(F7)="1",RIGHT(D7,10),RIGHT(D7,11))</f>
        <v>10.2.6.100</v>
      </c>
    </row>
    <row r="8" spans="1:7" x14ac:dyDescent="0.35">
      <c r="A8" s="2">
        <v>2</v>
      </c>
      <c r="B8" s="2">
        <v>7</v>
      </c>
      <c r="C8" s="2" t="s">
        <v>8</v>
      </c>
      <c r="D8" s="8" t="str">
        <f t="shared" si="0"/>
        <v>http://10.2.7.100</v>
      </c>
      <c r="F8" t="str">
        <f t="array" ref="F8">RIGHT(D8,10)</f>
        <v>10.2.7.100</v>
      </c>
      <c r="G8" t="str">
        <f t="array" ref="G8">IF(LEFT(F8)="1",RIGHT(D8,10),RIGHT(D8,11))</f>
        <v>10.2.7.100</v>
      </c>
    </row>
    <row r="9" spans="1:7" x14ac:dyDescent="0.35">
      <c r="A9" s="2">
        <v>2</v>
      </c>
      <c r="B9" s="2">
        <v>8</v>
      </c>
      <c r="C9" s="2" t="s">
        <v>9</v>
      </c>
      <c r="D9" s="8" t="str">
        <f t="shared" si="0"/>
        <v>http://10.2.8.100</v>
      </c>
      <c r="F9" t="str">
        <f t="array" ref="F9">RIGHT(D9,10)</f>
        <v>10.2.8.100</v>
      </c>
      <c r="G9" t="str">
        <f t="array" ref="G9">IF(LEFT(F9)="1",RIGHT(D9,10),RIGHT(D9,11))</f>
        <v>10.2.8.100</v>
      </c>
    </row>
    <row r="10" spans="1:7" x14ac:dyDescent="0.35">
      <c r="A10" s="2">
        <v>2</v>
      </c>
      <c r="B10" s="2">
        <v>9</v>
      </c>
      <c r="C10" s="2" t="s">
        <v>10</v>
      </c>
      <c r="D10" s="8" t="str">
        <f t="shared" si="0"/>
        <v>http://10.2.9.100</v>
      </c>
      <c r="F10" t="str">
        <f t="array" ref="F10">RIGHT(D10,10)</f>
        <v>10.2.9.100</v>
      </c>
      <c r="G10" t="str">
        <f t="array" ref="G10">IF(LEFT(F10)="1",RIGHT(D10,10),RIGHT(D10,11))</f>
        <v>10.2.9.100</v>
      </c>
    </row>
    <row r="11" spans="1:7" x14ac:dyDescent="0.35">
      <c r="A11" s="2">
        <v>2</v>
      </c>
      <c r="B11" s="2">
        <v>10</v>
      </c>
      <c r="C11" s="2" t="s">
        <v>11</v>
      </c>
      <c r="D11" s="8" t="str">
        <f t="shared" si="0"/>
        <v>http://10.2.10.100</v>
      </c>
      <c r="F11" t="str">
        <f t="array" ref="F11">RIGHT(D11,10)</f>
        <v>0.2.10.100</v>
      </c>
      <c r="G11" t="str">
        <f t="array" ref="G11">IF(LEFT(F11)="1",RIGHT(D11,10),RIGHT(D11,11))</f>
        <v>10.2.10.100</v>
      </c>
    </row>
    <row r="12" spans="1:7" x14ac:dyDescent="0.35">
      <c r="A12" s="2">
        <v>2</v>
      </c>
      <c r="B12" s="2">
        <v>11</v>
      </c>
      <c r="C12" s="2" t="s">
        <v>12</v>
      </c>
      <c r="D12" s="8" t="str">
        <f t="shared" si="0"/>
        <v>http://10.2.11.100</v>
      </c>
      <c r="F12" t="str">
        <f t="array" ref="F12">RIGHT(D12,10)</f>
        <v>0.2.11.100</v>
      </c>
      <c r="G12" t="str">
        <f t="array" ref="G12">IF(LEFT(F12)="1",RIGHT(D12,10),RIGHT(D12,11))</f>
        <v>10.2.11.100</v>
      </c>
    </row>
    <row r="13" spans="1:7" x14ac:dyDescent="0.35">
      <c r="A13" s="2">
        <v>2</v>
      </c>
      <c r="B13" s="2">
        <v>12</v>
      </c>
      <c r="C13" s="2" t="s">
        <v>13</v>
      </c>
      <c r="D13" s="8" t="str">
        <f t="shared" si="0"/>
        <v>http://10.2.12.100</v>
      </c>
      <c r="F13" t="str">
        <f t="array" ref="F13">RIGHT(D13,10)</f>
        <v>0.2.12.100</v>
      </c>
      <c r="G13" t="str">
        <f t="array" ref="G13">IF(LEFT(F13)="1",RIGHT(D13,10),RIGHT(D13,11))</f>
        <v>10.2.12.100</v>
      </c>
    </row>
    <row r="14" spans="1:7" x14ac:dyDescent="0.35">
      <c r="A14" s="2">
        <v>2</v>
      </c>
      <c r="B14" s="2">
        <v>13</v>
      </c>
      <c r="C14" s="2" t="s">
        <v>14</v>
      </c>
      <c r="D14" s="8" t="str">
        <f t="shared" si="0"/>
        <v>http://10.2.13.100</v>
      </c>
      <c r="F14" t="str">
        <f t="array" ref="F14">RIGHT(D14,10)</f>
        <v>0.2.13.100</v>
      </c>
      <c r="G14" t="str">
        <f t="array" ref="G14">IF(LEFT(F14)="1",RIGHT(D14,10),RIGHT(D14,11))</f>
        <v>10.2.13.100</v>
      </c>
    </row>
    <row r="15" spans="1:7" x14ac:dyDescent="0.35">
      <c r="A15" s="2">
        <v>2</v>
      </c>
      <c r="B15" s="2">
        <v>14</v>
      </c>
      <c r="C15" s="2" t="s">
        <v>15</v>
      </c>
      <c r="D15" s="8" t="str">
        <f t="shared" si="0"/>
        <v>http://10.2.14.100</v>
      </c>
      <c r="F15" t="str">
        <f t="array" ref="F15">RIGHT(D15,10)</f>
        <v>0.2.14.100</v>
      </c>
      <c r="G15" t="str">
        <f t="array" ref="G15">IF(LEFT(F15)="1",RIGHT(D15,10),RIGHT(D15,11))</f>
        <v>10.2.14.100</v>
      </c>
    </row>
    <row r="16" spans="1:7" x14ac:dyDescent="0.35">
      <c r="A16" s="2">
        <v>2</v>
      </c>
      <c r="B16" s="2">
        <v>15</v>
      </c>
      <c r="C16" s="2" t="s">
        <v>16</v>
      </c>
      <c r="D16" s="8" t="str">
        <f t="shared" si="0"/>
        <v>http://10.2.15.100</v>
      </c>
      <c r="F16" t="str">
        <f t="array" ref="F16">RIGHT(D16,10)</f>
        <v>0.2.15.100</v>
      </c>
      <c r="G16" t="str">
        <f t="array" ref="G16">IF(LEFT(F16)="1",RIGHT(D16,10),RIGHT(D16,11))</f>
        <v>10.2.15.100</v>
      </c>
    </row>
    <row r="17" spans="1:7" x14ac:dyDescent="0.35">
      <c r="A17" s="2">
        <v>2</v>
      </c>
      <c r="B17" s="2">
        <v>16</v>
      </c>
      <c r="C17" s="2" t="s">
        <v>17</v>
      </c>
      <c r="D17" s="8" t="str">
        <f t="shared" si="0"/>
        <v>http://10.2.16.100</v>
      </c>
      <c r="F17" t="str">
        <f t="array" ref="F17">RIGHT(D17,10)</f>
        <v>0.2.16.100</v>
      </c>
      <c r="G17" t="str">
        <f t="array" ref="G17">IF(LEFT(F17)="1",RIGHT(D17,10),RIGHT(D17,11))</f>
        <v>10.2.16.100</v>
      </c>
    </row>
    <row r="18" spans="1:7" x14ac:dyDescent="0.35">
      <c r="A18" s="2">
        <v>2</v>
      </c>
      <c r="B18" s="2">
        <v>17</v>
      </c>
      <c r="C18" s="2" t="s">
        <v>18</v>
      </c>
      <c r="D18" s="8" t="str">
        <f t="shared" si="0"/>
        <v>http://10.2.17.100</v>
      </c>
      <c r="F18" t="str">
        <f t="array" ref="F18">RIGHT(D18,10)</f>
        <v>0.2.17.100</v>
      </c>
      <c r="G18" t="str">
        <f t="array" ref="G18">IF(LEFT(F18)="1",RIGHT(D18,10),RIGHT(D18,11))</f>
        <v>10.2.17.100</v>
      </c>
    </row>
    <row r="19" spans="1:7" x14ac:dyDescent="0.35">
      <c r="A19" s="2">
        <v>2</v>
      </c>
      <c r="B19" s="2">
        <v>18</v>
      </c>
      <c r="C19" s="2" t="s">
        <v>19</v>
      </c>
      <c r="D19" s="8" t="str">
        <f t="shared" si="0"/>
        <v>http://10.2.18.100</v>
      </c>
      <c r="F19" t="str">
        <f t="array" ref="F19">RIGHT(D19,10)</f>
        <v>0.2.18.100</v>
      </c>
      <c r="G19" t="str">
        <f t="array" ref="G19">IF(LEFT(F19)="1",RIGHT(D19,10),RIGHT(D19,11))</f>
        <v>10.2.18.100</v>
      </c>
    </row>
    <row r="20" spans="1:7" x14ac:dyDescent="0.35">
      <c r="A20" s="2">
        <v>2</v>
      </c>
      <c r="B20" s="2">
        <v>19</v>
      </c>
      <c r="C20" s="2" t="s">
        <v>20</v>
      </c>
      <c r="D20" s="8" t="str">
        <f t="shared" si="0"/>
        <v>http://10.2.19.100</v>
      </c>
      <c r="F20" t="str">
        <f t="array" ref="F20">RIGHT(D20,10)</f>
        <v>0.2.19.100</v>
      </c>
      <c r="G20" t="str">
        <f t="array" ref="G20">IF(LEFT(F20)="1",RIGHT(D20,10),RIGHT(D20,11))</f>
        <v>10.2.19.100</v>
      </c>
    </row>
    <row r="21" spans="1:7" x14ac:dyDescent="0.35">
      <c r="A21" s="2">
        <v>2</v>
      </c>
      <c r="B21" s="2">
        <v>20</v>
      </c>
      <c r="C21" s="2" t="s">
        <v>21</v>
      </c>
      <c r="D21" s="8" t="str">
        <f t="shared" si="0"/>
        <v>http://10.2.20.100</v>
      </c>
      <c r="F21" t="str">
        <f t="array" ref="F21">RIGHT(D21,10)</f>
        <v>0.2.20.100</v>
      </c>
      <c r="G21" t="str">
        <f t="array" ref="G21">IF(LEFT(F21)="1",RIGHT(D21,10),RIGHT(D21,11))</f>
        <v>10.2.20.100</v>
      </c>
    </row>
    <row r="22" spans="1:7" x14ac:dyDescent="0.35">
      <c r="A22" s="2">
        <v>2</v>
      </c>
      <c r="B22" s="2">
        <v>21</v>
      </c>
      <c r="C22" s="2" t="s">
        <v>22</v>
      </c>
      <c r="D22" s="8" t="str">
        <f t="shared" si="0"/>
        <v>http://10.2.21.100</v>
      </c>
      <c r="F22" t="str">
        <f t="array" ref="F22">RIGHT(D22,10)</f>
        <v>0.2.21.100</v>
      </c>
      <c r="G22" t="str">
        <f t="array" ref="G22">IF(LEFT(F22)="1",RIGHT(D22,10),RIGHT(D22,11))</f>
        <v>10.2.21.100</v>
      </c>
    </row>
    <row r="23" spans="1:7" x14ac:dyDescent="0.35">
      <c r="A23" s="2">
        <v>2</v>
      </c>
      <c r="B23" s="2">
        <v>22</v>
      </c>
      <c r="C23" s="2" t="s">
        <v>23</v>
      </c>
      <c r="D23" s="8" t="str">
        <f t="shared" si="0"/>
        <v>http://10.2.22.100</v>
      </c>
      <c r="F23" t="str">
        <f t="array" ref="F23">RIGHT(D23,10)</f>
        <v>0.2.22.100</v>
      </c>
      <c r="G23" t="str">
        <f t="array" ref="G23">IF(LEFT(F23)="1",RIGHT(D23,10),RIGHT(D23,11))</f>
        <v>10.2.22.100</v>
      </c>
    </row>
    <row r="24" spans="1:7" x14ac:dyDescent="0.35">
      <c r="A24" s="2">
        <v>2</v>
      </c>
      <c r="B24" s="2">
        <v>23</v>
      </c>
      <c r="C24" s="2" t="s">
        <v>24</v>
      </c>
      <c r="D24" s="8" t="str">
        <f t="shared" si="0"/>
        <v>http://10.2.23.100</v>
      </c>
      <c r="F24" t="str">
        <f t="array" ref="F24">RIGHT(D24,10)</f>
        <v>0.2.23.100</v>
      </c>
      <c r="G24" t="str">
        <f t="array" ref="G24">IF(LEFT(F24)="1",RIGHT(D24,10),RIGHT(D24,11))</f>
        <v>10.2.23.100</v>
      </c>
    </row>
    <row r="25" spans="1:7" x14ac:dyDescent="0.35">
      <c r="A25" s="2">
        <v>2</v>
      </c>
      <c r="B25" s="2">
        <v>24</v>
      </c>
      <c r="C25" s="2" t="s">
        <v>25</v>
      </c>
      <c r="D25" s="8" t="str">
        <f t="shared" si="0"/>
        <v>http://10.2.24.100</v>
      </c>
      <c r="F25" t="str">
        <f t="array" ref="F25">RIGHT(D25,10)</f>
        <v>0.2.24.100</v>
      </c>
      <c r="G25" t="str">
        <f t="array" ref="G25">IF(LEFT(F25)="1",RIGHT(D25,10),RIGHT(D25,11))</f>
        <v>10.2.24.100</v>
      </c>
    </row>
    <row r="26" spans="1:7" x14ac:dyDescent="0.35">
      <c r="A26" s="2">
        <v>2</v>
      </c>
      <c r="B26" s="2">
        <v>25</v>
      </c>
      <c r="C26" s="2" t="s">
        <v>26</v>
      </c>
      <c r="D26" s="8" t="str">
        <f t="shared" si="0"/>
        <v>http://10.2.25.100</v>
      </c>
      <c r="F26" t="str">
        <f t="array" ref="F26">RIGHT(D26,10)</f>
        <v>0.2.25.100</v>
      </c>
      <c r="G26" t="str">
        <f t="array" ref="G26">IF(LEFT(F26)="1",RIGHT(D26,10),RIGHT(D26,11))</f>
        <v>10.2.25.100</v>
      </c>
    </row>
    <row r="27" spans="1:7" x14ac:dyDescent="0.35">
      <c r="A27" s="2">
        <v>2</v>
      </c>
      <c r="B27" s="2">
        <v>26</v>
      </c>
      <c r="C27" s="2" t="s">
        <v>27</v>
      </c>
      <c r="D27" s="8" t="str">
        <f t="shared" si="0"/>
        <v>http://10.2.26.100</v>
      </c>
      <c r="F27" t="str">
        <f t="array" ref="F27">RIGHT(D27,10)</f>
        <v>0.2.26.100</v>
      </c>
      <c r="G27" t="str">
        <f t="array" ref="G27">IF(LEFT(F27)="1",RIGHT(D27,10),RIGHT(D27,11))</f>
        <v>10.2.26.100</v>
      </c>
    </row>
    <row r="28" spans="1:7" x14ac:dyDescent="0.35">
      <c r="A28" s="2">
        <v>2</v>
      </c>
      <c r="B28" s="2">
        <v>27</v>
      </c>
      <c r="C28" s="2" t="s">
        <v>28</v>
      </c>
      <c r="D28" s="8" t="str">
        <f t="shared" si="0"/>
        <v>http://10.2.27.100</v>
      </c>
      <c r="F28" t="str">
        <f t="array" ref="F28">RIGHT(D28,10)</f>
        <v>0.2.27.100</v>
      </c>
      <c r="G28" t="str">
        <f t="array" ref="G28">IF(LEFT(F28)="1",RIGHT(D28,10),RIGHT(D28,11))</f>
        <v>10.2.27.100</v>
      </c>
    </row>
    <row r="29" spans="1:7" x14ac:dyDescent="0.35">
      <c r="A29" s="2">
        <v>2</v>
      </c>
      <c r="B29" s="2">
        <v>28</v>
      </c>
      <c r="C29" s="2" t="s">
        <v>29</v>
      </c>
      <c r="D29" s="8" t="str">
        <f t="shared" si="0"/>
        <v>http://10.2.28.100</v>
      </c>
      <c r="F29" t="str">
        <f t="array" ref="F29">RIGHT(D29,10)</f>
        <v>0.2.28.100</v>
      </c>
      <c r="G29" t="str">
        <f t="array" ref="G29">IF(LEFT(F29)="1",RIGHT(D29,10),RIGHT(D29,11))</f>
        <v>10.2.28.100</v>
      </c>
    </row>
    <row r="30" spans="1:7" x14ac:dyDescent="0.35">
      <c r="A30" s="2">
        <v>2</v>
      </c>
      <c r="B30" s="2">
        <v>29</v>
      </c>
      <c r="C30" s="2" t="s">
        <v>30</v>
      </c>
      <c r="D30" s="8" t="str">
        <f t="shared" si="0"/>
        <v>http://10.2.29.100</v>
      </c>
      <c r="F30" t="str">
        <f t="array" ref="F30">RIGHT(D30,10)</f>
        <v>0.2.29.100</v>
      </c>
      <c r="G30" t="str">
        <f t="array" ref="G30">IF(LEFT(F30)="1",RIGHT(D30,10),RIGHT(D30,11))</f>
        <v>10.2.29.100</v>
      </c>
    </row>
    <row r="31" spans="1:7" x14ac:dyDescent="0.35">
      <c r="A31" s="2">
        <v>2</v>
      </c>
      <c r="B31" s="2">
        <v>30</v>
      </c>
      <c r="C31" s="2" t="s">
        <v>31</v>
      </c>
      <c r="D31" s="8" t="str">
        <f t="shared" si="0"/>
        <v>http://10.2.30.100</v>
      </c>
      <c r="F31" t="str">
        <f t="array" ref="F31">RIGHT(D31,10)</f>
        <v>0.2.30.100</v>
      </c>
      <c r="G31" t="str">
        <f t="array" ref="G31">IF(LEFT(F31)="1",RIGHT(D31,10),RIGHT(D31,11))</f>
        <v>10.2.30.100</v>
      </c>
    </row>
    <row r="32" spans="1:7" x14ac:dyDescent="0.35">
      <c r="A32" s="2">
        <v>2</v>
      </c>
      <c r="B32" s="2">
        <v>31</v>
      </c>
      <c r="C32" s="2" t="s">
        <v>32</v>
      </c>
      <c r="D32" s="8" t="str">
        <f t="shared" si="0"/>
        <v>http://10.2.31.100</v>
      </c>
      <c r="F32" t="str">
        <f t="array" ref="F32">RIGHT(D32,10)</f>
        <v>0.2.31.100</v>
      </c>
      <c r="G32" t="str">
        <f t="array" ref="G32">IF(LEFT(F32)="1",RIGHT(D32,10),RIGHT(D32,11))</f>
        <v>10.2.31.100</v>
      </c>
    </row>
    <row r="33" spans="1:7" x14ac:dyDescent="0.35">
      <c r="A33" s="2">
        <v>2</v>
      </c>
      <c r="B33" s="2">
        <v>32</v>
      </c>
      <c r="C33" s="2" t="s">
        <v>33</v>
      </c>
      <c r="D33" s="8" t="str">
        <f t="shared" si="0"/>
        <v>http://10.2.32.100</v>
      </c>
      <c r="F33" t="str">
        <f t="array" ref="F33">RIGHT(D33,10)</f>
        <v>0.2.32.100</v>
      </c>
      <c r="G33" t="str">
        <f t="array" ref="G33">IF(LEFT(F33)="1",RIGHT(D33,10),RIGHT(D33,11))</f>
        <v>10.2.32.100</v>
      </c>
    </row>
    <row r="34" spans="1:7" x14ac:dyDescent="0.35">
      <c r="A34" s="2">
        <v>2</v>
      </c>
      <c r="B34" s="2">
        <v>33</v>
      </c>
      <c r="C34" s="2" t="s">
        <v>34</v>
      </c>
      <c r="D34" s="8" t="str">
        <f t="shared" si="0"/>
        <v>http://10.2.33.100</v>
      </c>
      <c r="F34" t="str">
        <f t="array" ref="F34">RIGHT(D34,10)</f>
        <v>0.2.33.100</v>
      </c>
      <c r="G34" t="str">
        <f t="array" ref="G34">IF(LEFT(F34)="1",RIGHT(D34,10),RIGHT(D34,11))</f>
        <v>10.2.33.100</v>
      </c>
    </row>
    <row r="35" spans="1:7" x14ac:dyDescent="0.35">
      <c r="A35" s="2">
        <v>2</v>
      </c>
      <c r="B35" s="2">
        <v>34</v>
      </c>
      <c r="C35" s="2" t="s">
        <v>35</v>
      </c>
      <c r="D35" s="8" t="str">
        <f t="shared" si="0"/>
        <v>http://10.2.34.100</v>
      </c>
      <c r="F35" t="str">
        <f t="array" ref="F35">RIGHT(D35,10)</f>
        <v>0.2.34.100</v>
      </c>
      <c r="G35" t="str">
        <f t="array" ref="G35">IF(LEFT(F35)="1",RIGHT(D35,10),RIGHT(D35,11))</f>
        <v>10.2.34.100</v>
      </c>
    </row>
    <row r="36" spans="1:7" x14ac:dyDescent="0.35">
      <c r="A36" s="2">
        <v>2</v>
      </c>
      <c r="B36" s="2">
        <v>35</v>
      </c>
      <c r="C36" s="2" t="s">
        <v>36</v>
      </c>
      <c r="D36" s="8" t="str">
        <f t="shared" si="0"/>
        <v>http://10.2.35.100</v>
      </c>
      <c r="F36" t="str">
        <f t="array" ref="F36">RIGHT(D36,10)</f>
        <v>0.2.35.100</v>
      </c>
      <c r="G36" t="str">
        <f t="array" ref="G36">IF(LEFT(F36)="1",RIGHT(D36,10),RIGHT(D36,11))</f>
        <v>10.2.35.100</v>
      </c>
    </row>
    <row r="37" spans="1:7" x14ac:dyDescent="0.35">
      <c r="A37" s="2">
        <v>2</v>
      </c>
      <c r="B37" s="2">
        <v>36</v>
      </c>
      <c r="C37" s="2" t="s">
        <v>37</v>
      </c>
      <c r="D37" s="8" t="str">
        <f t="shared" si="0"/>
        <v>http://10.2.36.100</v>
      </c>
      <c r="F37" t="str">
        <f t="array" ref="F37">RIGHT(D37,10)</f>
        <v>0.2.36.100</v>
      </c>
      <c r="G37" t="str">
        <f t="array" ref="G37">IF(LEFT(F37)="1",RIGHT(D37,10),RIGHT(D37,11))</f>
        <v>10.2.36.100</v>
      </c>
    </row>
    <row r="38" spans="1:7" x14ac:dyDescent="0.35">
      <c r="A38" s="2">
        <v>2</v>
      </c>
      <c r="B38" s="2">
        <v>37</v>
      </c>
      <c r="C38" s="2" t="s">
        <v>38</v>
      </c>
      <c r="D38" s="8" t="str">
        <f t="shared" si="0"/>
        <v>http://10.2.37.100</v>
      </c>
      <c r="F38" t="str">
        <f t="array" ref="F38">RIGHT(D38,10)</f>
        <v>0.2.37.100</v>
      </c>
      <c r="G38" t="str">
        <f t="array" ref="G38">IF(LEFT(F38)="1",RIGHT(D38,10),RIGHT(D38,11))</f>
        <v>10.2.37.100</v>
      </c>
    </row>
    <row r="39" spans="1:7" x14ac:dyDescent="0.35">
      <c r="A39"/>
      <c r="B39"/>
      <c r="C39"/>
      <c r="D39"/>
    </row>
    <row r="40" spans="1:7" x14ac:dyDescent="0.35">
      <c r="A40"/>
      <c r="B40"/>
      <c r="C40"/>
      <c r="D40"/>
    </row>
    <row r="41" spans="1:7" x14ac:dyDescent="0.35">
      <c r="A41"/>
      <c r="B41"/>
      <c r="C41"/>
      <c r="D41"/>
    </row>
    <row r="42" spans="1:7" x14ac:dyDescent="0.35">
      <c r="A42"/>
      <c r="B42"/>
      <c r="C42"/>
      <c r="D42"/>
    </row>
    <row r="43" spans="1:7" x14ac:dyDescent="0.35">
      <c r="A43"/>
      <c r="B43"/>
      <c r="C43"/>
      <c r="D43"/>
    </row>
    <row r="44" spans="1:7" x14ac:dyDescent="0.35">
      <c r="A44"/>
      <c r="B44"/>
      <c r="C44"/>
      <c r="D44"/>
    </row>
    <row r="45" spans="1:7" x14ac:dyDescent="0.35">
      <c r="A45"/>
      <c r="B45"/>
      <c r="C45"/>
      <c r="D45"/>
    </row>
    <row r="46" spans="1:7" x14ac:dyDescent="0.35">
      <c r="A46"/>
      <c r="B46"/>
      <c r="C46"/>
      <c r="D46"/>
    </row>
    <row r="47" spans="1:7" x14ac:dyDescent="0.35">
      <c r="A47"/>
      <c r="B47"/>
      <c r="C47"/>
      <c r="D47"/>
    </row>
    <row r="48" spans="1:7" x14ac:dyDescent="0.35">
      <c r="A48"/>
      <c r="B48"/>
      <c r="C48"/>
      <c r="D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  <row r="90" customFormat="1" x14ac:dyDescent="0.35"/>
    <row r="91" customFormat="1" x14ac:dyDescent="0.35"/>
    <row r="92" customFormat="1" x14ac:dyDescent="0.35"/>
    <row r="93" customFormat="1" x14ac:dyDescent="0.35"/>
    <row r="94" customFormat="1" x14ac:dyDescent="0.35"/>
    <row r="95" customFormat="1" x14ac:dyDescent="0.35"/>
    <row r="96" customFormat="1" x14ac:dyDescent="0.35"/>
    <row r="97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B328-2176-4826-9769-EA2037FB5CBE}">
  <sheetPr codeName="Hoja5"/>
  <dimension ref="A1:G89"/>
  <sheetViews>
    <sheetView workbookViewId="0">
      <selection activeCell="G2" sqref="G2"/>
    </sheetView>
  </sheetViews>
  <sheetFormatPr baseColWidth="10" defaultRowHeight="14.5" x14ac:dyDescent="0.35"/>
  <cols>
    <col min="1" max="1" width="9.7265625" style="2" bestFit="1" customWidth="1"/>
    <col min="2" max="2" width="12.1796875" style="1" bestFit="1" customWidth="1"/>
    <col min="3" max="3" width="21.7265625" style="1" bestFit="1" customWidth="1"/>
    <col min="4" max="4" width="19.1796875" style="1" customWidth="1"/>
    <col min="5" max="5" width="17.453125" customWidth="1"/>
    <col min="6" max="6" width="9.453125" bestFit="1" customWidth="1"/>
    <col min="7" max="7" width="10.453125" style="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  <c r="G1"/>
    </row>
    <row r="2" spans="1:7" x14ac:dyDescent="0.35">
      <c r="A2" s="13">
        <v>3</v>
      </c>
      <c r="B2" s="2">
        <v>1</v>
      </c>
      <c r="C2" s="2" t="s">
        <v>86</v>
      </c>
      <c r="D2" s="7" t="str">
        <f t="shared" ref="D2:D39" si="0">HYPERLINK("http://"&amp;"10."&amp;"3."&amp;VALUE(B2)&amp;".100")</f>
        <v>http://10.3.1.100</v>
      </c>
      <c r="F2" t="str">
        <f t="array" ref="F2">RIGHT(D2,10)</f>
        <v>10.3.1.100</v>
      </c>
      <c r="G2" t="str">
        <f t="array" ref="G2">IF(LEFT(F2)="1",RIGHT(D2,10),RIGHT(D2,11))</f>
        <v>10.3.1.100</v>
      </c>
    </row>
    <row r="3" spans="1:7" x14ac:dyDescent="0.35">
      <c r="A3" s="13">
        <v>3</v>
      </c>
      <c r="B3" s="2">
        <v>2</v>
      </c>
      <c r="C3" s="2" t="s">
        <v>87</v>
      </c>
      <c r="D3" s="8" t="str">
        <f t="shared" si="0"/>
        <v>http://10.3.2.100</v>
      </c>
      <c r="F3" t="str">
        <f t="array" ref="F3">RIGHT(D3,10)</f>
        <v>10.3.2.100</v>
      </c>
      <c r="G3" t="str">
        <f t="array" ref="G3">IF(LEFT(F3)="1",RIGHT(D3,10),RIGHT(D3,11))</f>
        <v>10.3.2.100</v>
      </c>
    </row>
    <row r="4" spans="1:7" x14ac:dyDescent="0.35">
      <c r="A4" s="13">
        <v>3</v>
      </c>
      <c r="B4" s="2">
        <v>3</v>
      </c>
      <c r="C4" s="2" t="s">
        <v>88</v>
      </c>
      <c r="D4" s="8" t="str">
        <f t="shared" si="0"/>
        <v>http://10.3.3.100</v>
      </c>
      <c r="F4" t="str">
        <f t="array" ref="F4">RIGHT(D4,10)</f>
        <v>10.3.3.100</v>
      </c>
      <c r="G4" t="str">
        <f t="array" ref="G4">IF(LEFT(F4)="1",RIGHT(D4,10),RIGHT(D4,11))</f>
        <v>10.3.3.100</v>
      </c>
    </row>
    <row r="5" spans="1:7" x14ac:dyDescent="0.35">
      <c r="A5" s="13">
        <v>3</v>
      </c>
      <c r="B5" s="2">
        <v>4</v>
      </c>
      <c r="C5" s="2" t="s">
        <v>89</v>
      </c>
      <c r="D5" s="8" t="str">
        <f t="shared" si="0"/>
        <v>http://10.3.4.100</v>
      </c>
      <c r="F5" t="str">
        <f t="array" ref="F5">RIGHT(D5,10)</f>
        <v>10.3.4.100</v>
      </c>
      <c r="G5" t="str">
        <f t="array" ref="G5">IF(LEFT(F5)="1",RIGHT(D5,10),RIGHT(D5,11))</f>
        <v>10.3.4.100</v>
      </c>
    </row>
    <row r="6" spans="1:7" x14ac:dyDescent="0.35">
      <c r="A6" s="13">
        <v>3</v>
      </c>
      <c r="B6" s="2">
        <v>5</v>
      </c>
      <c r="C6" s="2" t="s">
        <v>90</v>
      </c>
      <c r="D6" s="8" t="str">
        <f t="shared" si="0"/>
        <v>http://10.3.5.100</v>
      </c>
      <c r="F6" t="str">
        <f t="array" ref="F6">RIGHT(D6,10)</f>
        <v>10.3.5.100</v>
      </c>
      <c r="G6" t="str">
        <f t="array" ref="G6">IF(LEFT(F6)="1",RIGHT(D6,10),RIGHT(D6,11))</f>
        <v>10.3.5.100</v>
      </c>
    </row>
    <row r="7" spans="1:7" x14ac:dyDescent="0.35">
      <c r="A7" s="13">
        <v>3</v>
      </c>
      <c r="B7" s="2">
        <v>6</v>
      </c>
      <c r="C7" s="2" t="s">
        <v>91</v>
      </c>
      <c r="D7" s="8" t="str">
        <f t="shared" si="0"/>
        <v>http://10.3.6.100</v>
      </c>
      <c r="F7" t="str">
        <f t="array" ref="F7">RIGHT(D7,10)</f>
        <v>10.3.6.100</v>
      </c>
      <c r="G7" t="str">
        <f t="array" ref="G7">IF(LEFT(F7)="1",RIGHT(D7,10),RIGHT(D7,11))</f>
        <v>10.3.6.100</v>
      </c>
    </row>
    <row r="8" spans="1:7" x14ac:dyDescent="0.35">
      <c r="A8" s="13">
        <v>3</v>
      </c>
      <c r="B8" s="2">
        <v>7</v>
      </c>
      <c r="C8" s="2" t="s">
        <v>92</v>
      </c>
      <c r="D8" s="8" t="str">
        <f t="shared" si="0"/>
        <v>http://10.3.7.100</v>
      </c>
      <c r="F8" t="str">
        <f t="array" ref="F8">RIGHT(D8,10)</f>
        <v>10.3.7.100</v>
      </c>
      <c r="G8" t="str">
        <f t="array" ref="G8">IF(LEFT(F8)="1",RIGHT(D8,10),RIGHT(D8,11))</f>
        <v>10.3.7.100</v>
      </c>
    </row>
    <row r="9" spans="1:7" x14ac:dyDescent="0.35">
      <c r="A9" s="13">
        <v>3</v>
      </c>
      <c r="B9" s="2">
        <v>8</v>
      </c>
      <c r="C9" s="2" t="s">
        <v>93</v>
      </c>
      <c r="D9" s="8" t="str">
        <f t="shared" si="0"/>
        <v>http://10.3.8.100</v>
      </c>
      <c r="F9" t="str">
        <f t="array" ref="F9">RIGHT(D9,10)</f>
        <v>10.3.8.100</v>
      </c>
      <c r="G9" t="str">
        <f t="array" ref="G9">IF(LEFT(F9)="1",RIGHT(D9,10),RIGHT(D9,11))</f>
        <v>10.3.8.100</v>
      </c>
    </row>
    <row r="10" spans="1:7" x14ac:dyDescent="0.35">
      <c r="A10" s="13">
        <v>3</v>
      </c>
      <c r="B10" s="2">
        <v>9</v>
      </c>
      <c r="C10" s="2" t="s">
        <v>94</v>
      </c>
      <c r="D10" s="8" t="str">
        <f t="shared" si="0"/>
        <v>http://10.3.9.100</v>
      </c>
      <c r="F10" t="str">
        <f t="array" ref="F10">RIGHT(D10,10)</f>
        <v>10.3.9.100</v>
      </c>
      <c r="G10" t="str">
        <f t="array" ref="G10">IF(LEFT(F10)="1",RIGHT(D10,10),RIGHT(D10,11))</f>
        <v>10.3.9.100</v>
      </c>
    </row>
    <row r="11" spans="1:7" x14ac:dyDescent="0.35">
      <c r="A11" s="13">
        <v>3</v>
      </c>
      <c r="B11" s="2">
        <v>10</v>
      </c>
      <c r="C11" s="2" t="s">
        <v>95</v>
      </c>
      <c r="D11" s="8" t="str">
        <f t="shared" si="0"/>
        <v>http://10.3.10.100</v>
      </c>
      <c r="F11" t="str">
        <f t="array" ref="F11">RIGHT(D11,10)</f>
        <v>0.3.10.100</v>
      </c>
      <c r="G11" t="str">
        <f t="array" ref="G11">IF(LEFT(F11)="1",RIGHT(D11,10),RIGHT(D11,11))</f>
        <v>10.3.10.100</v>
      </c>
    </row>
    <row r="12" spans="1:7" x14ac:dyDescent="0.35">
      <c r="A12" s="13">
        <v>3</v>
      </c>
      <c r="B12" s="2">
        <v>11</v>
      </c>
      <c r="C12" s="2" t="s">
        <v>96</v>
      </c>
      <c r="D12" s="8" t="str">
        <f t="shared" si="0"/>
        <v>http://10.3.11.100</v>
      </c>
      <c r="F12" t="str">
        <f t="array" ref="F12">RIGHT(D12,10)</f>
        <v>0.3.11.100</v>
      </c>
      <c r="G12" t="str">
        <f t="array" ref="G12">IF(LEFT(F12)="1",RIGHT(D12,10),RIGHT(D12,11))</f>
        <v>10.3.11.100</v>
      </c>
    </row>
    <row r="13" spans="1:7" x14ac:dyDescent="0.35">
      <c r="A13" s="13">
        <v>3</v>
      </c>
      <c r="B13" s="2">
        <v>12</v>
      </c>
      <c r="C13" s="2" t="s">
        <v>97</v>
      </c>
      <c r="D13" s="8" t="str">
        <f t="shared" si="0"/>
        <v>http://10.3.12.100</v>
      </c>
      <c r="F13" t="str">
        <f t="array" ref="F13">RIGHT(D13,10)</f>
        <v>0.3.12.100</v>
      </c>
      <c r="G13" t="str">
        <f t="array" ref="G13">IF(LEFT(F13)="1",RIGHT(D13,10),RIGHT(D13,11))</f>
        <v>10.3.12.100</v>
      </c>
    </row>
    <row r="14" spans="1:7" x14ac:dyDescent="0.35">
      <c r="A14" s="13">
        <v>3</v>
      </c>
      <c r="B14" s="2">
        <v>13</v>
      </c>
      <c r="C14" s="2" t="s">
        <v>98</v>
      </c>
      <c r="D14" s="8" t="str">
        <f t="shared" si="0"/>
        <v>http://10.3.13.100</v>
      </c>
      <c r="F14" t="str">
        <f t="array" ref="F14">RIGHT(D14,10)</f>
        <v>0.3.13.100</v>
      </c>
      <c r="G14" t="str">
        <f t="array" ref="G14">IF(LEFT(F14)="1",RIGHT(D14,10),RIGHT(D14,11))</f>
        <v>10.3.13.100</v>
      </c>
    </row>
    <row r="15" spans="1:7" x14ac:dyDescent="0.35">
      <c r="A15" s="13">
        <v>3</v>
      </c>
      <c r="B15" s="2">
        <v>14</v>
      </c>
      <c r="C15" s="2" t="s">
        <v>99</v>
      </c>
      <c r="D15" s="8" t="str">
        <f t="shared" si="0"/>
        <v>http://10.3.14.100</v>
      </c>
      <c r="F15" t="str">
        <f t="array" ref="F15">RIGHT(D15,10)</f>
        <v>0.3.14.100</v>
      </c>
      <c r="G15" t="str">
        <f t="array" ref="G15">IF(LEFT(F15)="1",RIGHT(D15,10),RIGHT(D15,11))</f>
        <v>10.3.14.100</v>
      </c>
    </row>
    <row r="16" spans="1:7" x14ac:dyDescent="0.35">
      <c r="A16" s="13">
        <v>3</v>
      </c>
      <c r="B16" s="2">
        <v>15</v>
      </c>
      <c r="C16" s="2" t="s">
        <v>100</v>
      </c>
      <c r="D16" s="8" t="str">
        <f t="shared" si="0"/>
        <v>http://10.3.15.100</v>
      </c>
      <c r="F16" t="str">
        <f t="array" ref="F16">RIGHT(D16,10)</f>
        <v>0.3.15.100</v>
      </c>
      <c r="G16" t="str">
        <f t="array" ref="G16">IF(LEFT(F16)="1",RIGHT(D16,10),RIGHT(D16,11))</f>
        <v>10.3.15.100</v>
      </c>
    </row>
    <row r="17" spans="1:7" x14ac:dyDescent="0.35">
      <c r="A17" s="13">
        <v>3</v>
      </c>
      <c r="B17" s="2">
        <v>16</v>
      </c>
      <c r="C17" s="2" t="s">
        <v>43</v>
      </c>
      <c r="D17" s="8" t="str">
        <f t="shared" si="0"/>
        <v>http://10.3.16.100</v>
      </c>
      <c r="F17" t="str">
        <f t="array" ref="F17">RIGHT(D17,10)</f>
        <v>0.3.16.100</v>
      </c>
      <c r="G17" t="str">
        <f t="array" ref="G17">IF(LEFT(F17)="1",RIGHT(D17,10),RIGHT(D17,11))</f>
        <v>10.3.16.100</v>
      </c>
    </row>
    <row r="18" spans="1:7" x14ac:dyDescent="0.35">
      <c r="A18" s="13">
        <v>3</v>
      </c>
      <c r="B18" s="2">
        <v>17</v>
      </c>
      <c r="C18" s="2" t="s">
        <v>44</v>
      </c>
      <c r="D18" s="8" t="str">
        <f t="shared" si="0"/>
        <v>http://10.3.17.100</v>
      </c>
      <c r="F18" t="str">
        <f t="array" ref="F18">RIGHT(D18,10)</f>
        <v>0.3.17.100</v>
      </c>
      <c r="G18" t="str">
        <f t="array" ref="G18">IF(LEFT(F18)="1",RIGHT(D18,10),RIGHT(D18,11))</f>
        <v>10.3.17.100</v>
      </c>
    </row>
    <row r="19" spans="1:7" x14ac:dyDescent="0.35">
      <c r="A19" s="13">
        <v>3</v>
      </c>
      <c r="B19" s="2">
        <v>18</v>
      </c>
      <c r="C19" s="2" t="s">
        <v>101</v>
      </c>
      <c r="D19" s="8" t="str">
        <f t="shared" si="0"/>
        <v>http://10.3.18.100</v>
      </c>
      <c r="F19" t="str">
        <f t="array" ref="F19">RIGHT(D19,10)</f>
        <v>0.3.18.100</v>
      </c>
      <c r="G19" t="str">
        <f t="array" ref="G19">IF(LEFT(F19)="1",RIGHT(D19,10),RIGHT(D19,11))</f>
        <v>10.3.18.100</v>
      </c>
    </row>
    <row r="20" spans="1:7" x14ac:dyDescent="0.35">
      <c r="A20" s="13">
        <v>3</v>
      </c>
      <c r="B20" s="2">
        <v>19</v>
      </c>
      <c r="C20" s="2" t="s">
        <v>102</v>
      </c>
      <c r="D20" s="8" t="str">
        <f t="shared" si="0"/>
        <v>http://10.3.19.100</v>
      </c>
      <c r="F20" t="str">
        <f t="array" ref="F20">RIGHT(D20,10)</f>
        <v>0.3.19.100</v>
      </c>
      <c r="G20" t="str">
        <f t="array" ref="G20">IF(LEFT(F20)="1",RIGHT(D20,10),RIGHT(D20,11))</f>
        <v>10.3.19.100</v>
      </c>
    </row>
    <row r="21" spans="1:7" x14ac:dyDescent="0.35">
      <c r="A21" s="13">
        <v>3</v>
      </c>
      <c r="B21" s="2">
        <v>20</v>
      </c>
      <c r="C21" s="2" t="s">
        <v>103</v>
      </c>
      <c r="D21" s="8" t="str">
        <f t="shared" si="0"/>
        <v>http://10.3.20.100</v>
      </c>
      <c r="F21" t="str">
        <f t="array" ref="F21">RIGHT(D21,10)</f>
        <v>0.3.20.100</v>
      </c>
      <c r="G21" t="str">
        <f t="array" ref="G21">IF(LEFT(F21)="1",RIGHT(D21,10),RIGHT(D21,11))</f>
        <v>10.3.20.100</v>
      </c>
    </row>
    <row r="22" spans="1:7" x14ac:dyDescent="0.35">
      <c r="A22" s="13">
        <v>3</v>
      </c>
      <c r="B22" s="2">
        <v>21</v>
      </c>
      <c r="C22" s="2" t="s">
        <v>104</v>
      </c>
      <c r="D22" s="8" t="str">
        <f t="shared" si="0"/>
        <v>http://10.3.21.100</v>
      </c>
      <c r="F22" t="str">
        <f t="array" ref="F22">RIGHT(D22,10)</f>
        <v>0.3.21.100</v>
      </c>
      <c r="G22" t="str">
        <f t="array" ref="G22">IF(LEFT(F22)="1",RIGHT(D22,10),RIGHT(D22,11))</f>
        <v>10.3.21.100</v>
      </c>
    </row>
    <row r="23" spans="1:7" x14ac:dyDescent="0.35">
      <c r="A23" s="13">
        <v>3</v>
      </c>
      <c r="B23" s="2">
        <v>22</v>
      </c>
      <c r="C23" s="2" t="s">
        <v>105</v>
      </c>
      <c r="D23" s="8" t="str">
        <f t="shared" si="0"/>
        <v>http://10.3.22.100</v>
      </c>
      <c r="F23" t="str">
        <f t="array" ref="F23">RIGHT(D23,10)</f>
        <v>0.3.22.100</v>
      </c>
      <c r="G23" t="str">
        <f t="array" ref="G23">IF(LEFT(F23)="1",RIGHT(D23,10),RIGHT(D23,11))</f>
        <v>10.3.22.100</v>
      </c>
    </row>
    <row r="24" spans="1:7" x14ac:dyDescent="0.35">
      <c r="A24" s="13">
        <v>3</v>
      </c>
      <c r="B24" s="2">
        <v>23</v>
      </c>
      <c r="C24" s="2" t="s">
        <v>106</v>
      </c>
      <c r="D24" s="8" t="str">
        <f t="shared" si="0"/>
        <v>http://10.3.23.100</v>
      </c>
      <c r="F24" t="str">
        <f t="array" ref="F24">RIGHT(D24,10)</f>
        <v>0.3.23.100</v>
      </c>
      <c r="G24" t="str">
        <f t="array" ref="G24">IF(LEFT(F24)="1",RIGHT(D24,10),RIGHT(D24,11))</f>
        <v>10.3.23.100</v>
      </c>
    </row>
    <row r="25" spans="1:7" x14ac:dyDescent="0.35">
      <c r="A25" s="13">
        <v>3</v>
      </c>
      <c r="B25" s="2">
        <v>24</v>
      </c>
      <c r="C25" s="2" t="s">
        <v>107</v>
      </c>
      <c r="D25" s="8" t="str">
        <f t="shared" si="0"/>
        <v>http://10.3.24.100</v>
      </c>
      <c r="F25" t="str">
        <f t="array" ref="F25">RIGHT(D25,10)</f>
        <v>0.3.24.100</v>
      </c>
      <c r="G25" t="str">
        <f t="array" ref="G25">IF(LEFT(F25)="1",RIGHT(D25,10),RIGHT(D25,11))</f>
        <v>10.3.24.100</v>
      </c>
    </row>
    <row r="26" spans="1:7" x14ac:dyDescent="0.35">
      <c r="A26" s="13">
        <v>3</v>
      </c>
      <c r="B26" s="2">
        <v>25</v>
      </c>
      <c r="C26" s="2" t="s">
        <v>108</v>
      </c>
      <c r="D26" s="8" t="str">
        <f t="shared" si="0"/>
        <v>http://10.3.25.100</v>
      </c>
      <c r="F26" t="str">
        <f t="array" ref="F26">RIGHT(D26,10)</f>
        <v>0.3.25.100</v>
      </c>
      <c r="G26" t="str">
        <f t="array" ref="G26">IF(LEFT(F26)="1",RIGHT(D26,10),RIGHT(D26,11))</f>
        <v>10.3.25.100</v>
      </c>
    </row>
    <row r="27" spans="1:7" x14ac:dyDescent="0.35">
      <c r="A27" s="13">
        <v>3</v>
      </c>
      <c r="B27" s="2">
        <v>26</v>
      </c>
      <c r="C27" s="2" t="s">
        <v>109</v>
      </c>
      <c r="D27" s="8" t="str">
        <f t="shared" si="0"/>
        <v>http://10.3.26.100</v>
      </c>
      <c r="F27" t="str">
        <f t="array" ref="F27">RIGHT(D27,10)</f>
        <v>0.3.26.100</v>
      </c>
      <c r="G27" t="str">
        <f t="array" ref="G27">IF(LEFT(F27)="1",RIGHT(D27,10),RIGHT(D27,11))</f>
        <v>10.3.26.100</v>
      </c>
    </row>
    <row r="28" spans="1:7" x14ac:dyDescent="0.35">
      <c r="A28" s="13">
        <v>3</v>
      </c>
      <c r="B28" s="2">
        <v>27</v>
      </c>
      <c r="C28" s="2" t="s">
        <v>110</v>
      </c>
      <c r="D28" s="8" t="str">
        <f t="shared" si="0"/>
        <v>http://10.3.27.100</v>
      </c>
      <c r="F28" t="str">
        <f t="array" ref="F28">RIGHT(D28,10)</f>
        <v>0.3.27.100</v>
      </c>
      <c r="G28" t="str">
        <f t="array" ref="G28">IF(LEFT(F28)="1",RIGHT(D28,10),RIGHT(D28,11))</f>
        <v>10.3.27.100</v>
      </c>
    </row>
    <row r="29" spans="1:7" x14ac:dyDescent="0.35">
      <c r="A29" s="13">
        <v>3</v>
      </c>
      <c r="B29" s="2">
        <v>28</v>
      </c>
      <c r="C29" s="2" t="s">
        <v>111</v>
      </c>
      <c r="D29" s="8" t="str">
        <f t="shared" si="0"/>
        <v>http://10.3.28.100</v>
      </c>
      <c r="F29" t="str">
        <f t="array" ref="F29">RIGHT(D29,10)</f>
        <v>0.3.28.100</v>
      </c>
      <c r="G29" t="str">
        <f t="array" ref="G29">IF(LEFT(F29)="1",RIGHT(D29,10),RIGHT(D29,11))</f>
        <v>10.3.28.100</v>
      </c>
    </row>
    <row r="30" spans="1:7" x14ac:dyDescent="0.35">
      <c r="A30" s="13">
        <v>3</v>
      </c>
      <c r="B30" s="2">
        <v>29</v>
      </c>
      <c r="C30" s="2" t="s">
        <v>112</v>
      </c>
      <c r="D30" s="8" t="str">
        <f t="shared" si="0"/>
        <v>http://10.3.29.100</v>
      </c>
      <c r="F30" t="str">
        <f t="array" ref="F30">RIGHT(D30,10)</f>
        <v>0.3.29.100</v>
      </c>
      <c r="G30" t="str">
        <f t="array" ref="G30">IF(LEFT(F30)="1",RIGHT(D30,10),RIGHT(D30,11))</f>
        <v>10.3.29.100</v>
      </c>
    </row>
    <row r="31" spans="1:7" x14ac:dyDescent="0.35">
      <c r="A31" s="13">
        <v>3</v>
      </c>
      <c r="B31" s="2">
        <v>30</v>
      </c>
      <c r="C31" s="2" t="s">
        <v>113</v>
      </c>
      <c r="D31" s="8" t="str">
        <f t="shared" si="0"/>
        <v>http://10.3.30.100</v>
      </c>
      <c r="F31" t="str">
        <f t="array" ref="F31">RIGHT(D31,10)</f>
        <v>0.3.30.100</v>
      </c>
      <c r="G31" t="str">
        <f t="array" ref="G31">IF(LEFT(F31)="1",RIGHT(D31,10),RIGHT(D31,11))</f>
        <v>10.3.30.100</v>
      </c>
    </row>
    <row r="32" spans="1:7" x14ac:dyDescent="0.35">
      <c r="A32" s="13">
        <v>3</v>
      </c>
      <c r="B32" s="2">
        <v>31</v>
      </c>
      <c r="C32" s="2" t="s">
        <v>114</v>
      </c>
      <c r="D32" s="8" t="str">
        <f t="shared" si="0"/>
        <v>http://10.3.31.100</v>
      </c>
      <c r="F32" t="str">
        <f t="array" ref="F32">RIGHT(D32,10)</f>
        <v>0.3.31.100</v>
      </c>
      <c r="G32" t="str">
        <f t="array" ref="G32">IF(LEFT(F32)="1",RIGHT(D32,10),RIGHT(D32,11))</f>
        <v>10.3.31.100</v>
      </c>
    </row>
    <row r="33" spans="1:7" x14ac:dyDescent="0.35">
      <c r="A33" s="13">
        <v>3</v>
      </c>
      <c r="B33" s="2">
        <v>32</v>
      </c>
      <c r="C33" s="2" t="s">
        <v>115</v>
      </c>
      <c r="D33" s="8" t="str">
        <f t="shared" si="0"/>
        <v>http://10.3.32.100</v>
      </c>
      <c r="F33" t="str">
        <f t="array" ref="F33">RIGHT(D33,10)</f>
        <v>0.3.32.100</v>
      </c>
      <c r="G33" t="str">
        <f t="array" ref="G33">IF(LEFT(F33)="1",RIGHT(D33,10),RIGHT(D33,11))</f>
        <v>10.3.32.100</v>
      </c>
    </row>
    <row r="34" spans="1:7" x14ac:dyDescent="0.35">
      <c r="A34" s="13">
        <v>3</v>
      </c>
      <c r="B34" s="2">
        <v>33</v>
      </c>
      <c r="C34" s="2" t="s">
        <v>11</v>
      </c>
      <c r="D34" s="8" t="str">
        <f t="shared" si="0"/>
        <v>http://10.3.33.100</v>
      </c>
      <c r="F34" t="str">
        <f t="array" ref="F34">RIGHT(D34,10)</f>
        <v>0.3.33.100</v>
      </c>
      <c r="G34" t="str">
        <f t="array" ref="G34">IF(LEFT(F34)="1",RIGHT(D34,10),RIGHT(D34,11))</f>
        <v>10.3.33.100</v>
      </c>
    </row>
    <row r="35" spans="1:7" x14ac:dyDescent="0.35">
      <c r="A35" s="13">
        <v>3</v>
      </c>
      <c r="B35" s="2">
        <v>34</v>
      </c>
      <c r="C35" s="2" t="s">
        <v>116</v>
      </c>
      <c r="D35" s="8" t="str">
        <f t="shared" si="0"/>
        <v>http://10.3.34.100</v>
      </c>
      <c r="F35" t="str">
        <f t="array" ref="F35">RIGHT(D35,10)</f>
        <v>0.3.34.100</v>
      </c>
      <c r="G35" t="str">
        <f t="array" ref="G35">IF(LEFT(F35)="1",RIGHT(D35,10),RIGHT(D35,11))</f>
        <v>10.3.34.100</v>
      </c>
    </row>
    <row r="36" spans="1:7" x14ac:dyDescent="0.35">
      <c r="A36" s="13">
        <v>3</v>
      </c>
      <c r="B36" s="2">
        <v>35</v>
      </c>
      <c r="C36" s="2" t="s">
        <v>117</v>
      </c>
      <c r="D36" s="8" t="str">
        <f t="shared" si="0"/>
        <v>http://10.3.35.100</v>
      </c>
      <c r="F36" t="str">
        <f t="array" ref="F36">RIGHT(D36,10)</f>
        <v>0.3.35.100</v>
      </c>
      <c r="G36" t="str">
        <f t="array" ref="G36">IF(LEFT(F36)="1",RIGHT(D36,10),RIGHT(D36,11))</f>
        <v>10.3.35.100</v>
      </c>
    </row>
    <row r="37" spans="1:7" x14ac:dyDescent="0.35">
      <c r="A37" s="13">
        <v>3</v>
      </c>
      <c r="B37" s="2">
        <v>36</v>
      </c>
      <c r="C37" s="2" t="s">
        <v>118</v>
      </c>
      <c r="D37" s="8" t="str">
        <f t="shared" si="0"/>
        <v>http://10.3.36.100</v>
      </c>
      <c r="F37" t="str">
        <f t="array" ref="F37">RIGHT(D37,10)</f>
        <v>0.3.36.100</v>
      </c>
      <c r="G37" t="str">
        <f t="array" ref="G37">IF(LEFT(F37)="1",RIGHT(D37,10),RIGHT(D37,11))</f>
        <v>10.3.36.100</v>
      </c>
    </row>
    <row r="38" spans="1:7" x14ac:dyDescent="0.35">
      <c r="A38" s="13">
        <v>3</v>
      </c>
      <c r="B38" s="2">
        <v>37</v>
      </c>
      <c r="C38" s="2" t="s">
        <v>119</v>
      </c>
      <c r="D38" s="8" t="str">
        <f t="shared" si="0"/>
        <v>http://10.3.37.100</v>
      </c>
      <c r="F38" t="str">
        <f t="array" ref="F38">RIGHT(D38,10)</f>
        <v>0.3.37.100</v>
      </c>
      <c r="G38" t="str">
        <f t="array" ref="G38">IF(LEFT(F38)="1",RIGHT(D38,10),RIGHT(D38,11))</f>
        <v>10.3.37.100</v>
      </c>
    </row>
    <row r="39" spans="1:7" x14ac:dyDescent="0.35">
      <c r="A39" s="13">
        <v>3</v>
      </c>
      <c r="B39" s="2">
        <v>38</v>
      </c>
      <c r="C39" s="2" t="s">
        <v>120</v>
      </c>
      <c r="D39" s="8" t="str">
        <f t="shared" si="0"/>
        <v>http://10.3.38.100</v>
      </c>
      <c r="F39" t="str">
        <f t="array" ref="F39">RIGHT(D39,10)</f>
        <v>0.3.38.100</v>
      </c>
      <c r="G39" t="str">
        <f t="array" ref="G39">IF(LEFT(F39)="1",RIGHT(D39,10),RIGHT(D39,11))</f>
        <v>10.3.38.100</v>
      </c>
    </row>
    <row r="40" spans="1:7" x14ac:dyDescent="0.35">
      <c r="A40"/>
      <c r="B40"/>
      <c r="C40"/>
      <c r="D40"/>
      <c r="G40"/>
    </row>
    <row r="41" spans="1:7" x14ac:dyDescent="0.35">
      <c r="A41"/>
      <c r="B41"/>
      <c r="C41"/>
      <c r="D41"/>
      <c r="G41"/>
    </row>
    <row r="42" spans="1:7" x14ac:dyDescent="0.35">
      <c r="A42"/>
      <c r="B42"/>
      <c r="C42"/>
      <c r="D42"/>
      <c r="G42"/>
    </row>
    <row r="43" spans="1:7" x14ac:dyDescent="0.35">
      <c r="A43"/>
      <c r="B43"/>
      <c r="C43"/>
      <c r="D43"/>
      <c r="G43"/>
    </row>
    <row r="44" spans="1:7" x14ac:dyDescent="0.35">
      <c r="A44"/>
      <c r="B44"/>
      <c r="C44"/>
      <c r="D44"/>
      <c r="G44"/>
    </row>
    <row r="45" spans="1:7" x14ac:dyDescent="0.35">
      <c r="A45"/>
      <c r="B45"/>
      <c r="C45"/>
      <c r="D45"/>
      <c r="G45"/>
    </row>
    <row r="46" spans="1:7" x14ac:dyDescent="0.35">
      <c r="A46"/>
      <c r="B46"/>
      <c r="C46"/>
      <c r="D46"/>
      <c r="G46"/>
    </row>
    <row r="47" spans="1:7" x14ac:dyDescent="0.35">
      <c r="A47"/>
      <c r="B47"/>
      <c r="C47"/>
      <c r="D47"/>
      <c r="G47"/>
    </row>
    <row r="48" spans="1:7" x14ac:dyDescent="0.35">
      <c r="A48"/>
      <c r="B48"/>
      <c r="C48"/>
      <c r="D48"/>
      <c r="G48"/>
    </row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customFormat="1" x14ac:dyDescent="0.35"/>
    <row r="57" customFormat="1" x14ac:dyDescent="0.35"/>
    <row r="58" customFormat="1" x14ac:dyDescent="0.35"/>
    <row r="59" customFormat="1" x14ac:dyDescent="0.35"/>
    <row r="60" customFormat="1" x14ac:dyDescent="0.35"/>
    <row r="61" customFormat="1" x14ac:dyDescent="0.35"/>
    <row r="62" customFormat="1" x14ac:dyDescent="0.35"/>
    <row r="63" customFormat="1" x14ac:dyDescent="0.35"/>
    <row r="64" customFormat="1" x14ac:dyDescent="0.35"/>
    <row r="65" customFormat="1" x14ac:dyDescent="0.35"/>
    <row r="66" customFormat="1" x14ac:dyDescent="0.35"/>
    <row r="67" customFormat="1" x14ac:dyDescent="0.35"/>
    <row r="68" customFormat="1" x14ac:dyDescent="0.35"/>
    <row r="69" customFormat="1" x14ac:dyDescent="0.35"/>
    <row r="70" customFormat="1" x14ac:dyDescent="0.35"/>
    <row r="71" customFormat="1" x14ac:dyDescent="0.35"/>
    <row r="72" customFormat="1" x14ac:dyDescent="0.35"/>
    <row r="73" customFormat="1" x14ac:dyDescent="0.35"/>
    <row r="74" customFormat="1" x14ac:dyDescent="0.35"/>
    <row r="75" customFormat="1" x14ac:dyDescent="0.35"/>
    <row r="76" customFormat="1" x14ac:dyDescent="0.35"/>
    <row r="77" customFormat="1" x14ac:dyDescent="0.35"/>
    <row r="78" customFormat="1" x14ac:dyDescent="0.35"/>
    <row r="79" customFormat="1" x14ac:dyDescent="0.35"/>
    <row r="80" customFormat="1" x14ac:dyDescent="0.35"/>
    <row r="81" customFormat="1" x14ac:dyDescent="0.35"/>
    <row r="82" customFormat="1" x14ac:dyDescent="0.35"/>
    <row r="83" customFormat="1" x14ac:dyDescent="0.35"/>
    <row r="84" customFormat="1" x14ac:dyDescent="0.35"/>
    <row r="85" customFormat="1" x14ac:dyDescent="0.35"/>
    <row r="86" customFormat="1" x14ac:dyDescent="0.35"/>
    <row r="87" customFormat="1" x14ac:dyDescent="0.35"/>
    <row r="88" customFormat="1" x14ac:dyDescent="0.35"/>
    <row r="89" customFormat="1" x14ac:dyDescent="0.35"/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F13CE-2BD6-4181-9C48-A99BB7C5589A}">
  <sheetPr codeName="Hoja6"/>
  <dimension ref="A1:G18"/>
  <sheetViews>
    <sheetView workbookViewId="0">
      <selection activeCell="F2" sqref="F2"/>
    </sheetView>
  </sheetViews>
  <sheetFormatPr baseColWidth="10" defaultRowHeight="14.5" x14ac:dyDescent="0.35"/>
  <cols>
    <col min="1" max="1" width="10.90625" style="1"/>
    <col min="2" max="2" width="17.6328125" style="1" bestFit="1" customWidth="1"/>
    <col min="3" max="3" width="14" style="4" bestFit="1" customWidth="1"/>
    <col min="4" max="4" width="16.1796875" style="1" bestFit="1" customWidth="1"/>
    <col min="6" max="6" width="9.453125" bestFit="1" customWidth="1"/>
  </cols>
  <sheetData>
    <row r="1" spans="1:7" x14ac:dyDescent="0.35">
      <c r="A1" s="2" t="s">
        <v>171</v>
      </c>
      <c r="B1" s="2" t="s">
        <v>0</v>
      </c>
      <c r="C1" s="2" t="s">
        <v>1</v>
      </c>
      <c r="D1" s="9" t="s">
        <v>229</v>
      </c>
    </row>
    <row r="2" spans="1:7" x14ac:dyDescent="0.35">
      <c r="A2" s="13">
        <v>4</v>
      </c>
      <c r="B2" s="13">
        <v>10</v>
      </c>
      <c r="C2" s="2" t="s">
        <v>164</v>
      </c>
      <c r="D2" s="7" t="str">
        <f>HYPERLINK("http://"&amp;"10."&amp;"4."&amp;VALUE(B2)&amp;".100")</f>
        <v>http://10.4.10.100</v>
      </c>
      <c r="F2" t="str">
        <f t="array" ref="F2">RIGHT(D2,10)</f>
        <v>0.4.10.100</v>
      </c>
      <c r="G2" t="str">
        <f t="array" ref="G2">IF(LEFT(F2)="1",RIGHT(D2,10),RIGHT(D2,11))</f>
        <v>10.4.10.100</v>
      </c>
    </row>
    <row r="3" spans="1:7" x14ac:dyDescent="0.35">
      <c r="A3" s="13">
        <v>4</v>
      </c>
      <c r="B3" s="13">
        <v>30</v>
      </c>
      <c r="C3" s="2" t="s">
        <v>135</v>
      </c>
      <c r="D3" s="8" t="str">
        <f>HYPERLINK("http://"&amp;"10."&amp;"4."&amp;VALUE(B3)&amp;".100")</f>
        <v>http://10.4.30.100</v>
      </c>
      <c r="F3" t="str">
        <f t="array" ref="F3">RIGHT(D3,10)</f>
        <v>0.4.30.100</v>
      </c>
      <c r="G3" t="str">
        <f t="array" ref="G3">IF(LEFT(F3)="1",RIGHT(D3,10),RIGHT(D3,11))</f>
        <v>10.4.30.100</v>
      </c>
    </row>
    <row r="4" spans="1:7" x14ac:dyDescent="0.35">
      <c r="A4" s="13">
        <v>4</v>
      </c>
      <c r="B4" s="13">
        <v>40</v>
      </c>
      <c r="C4" s="2" t="s">
        <v>165</v>
      </c>
      <c r="D4" s="8" t="str">
        <f>HYPERLINK("http://"&amp;"10."&amp;"4."&amp;VALUE(B4)&amp;".100")</f>
        <v>http://10.4.40.100</v>
      </c>
      <c r="F4" t="str">
        <f t="array" ref="F4">RIGHT(D4,10)</f>
        <v>0.4.40.100</v>
      </c>
      <c r="G4" t="str">
        <f t="array" ref="G4">IF(LEFT(F4)="1",RIGHT(D4,10),RIGHT(D4,11))</f>
        <v>10.4.40.100</v>
      </c>
    </row>
    <row r="5" spans="1:7" x14ac:dyDescent="0.35">
      <c r="A5" s="13">
        <v>4</v>
      </c>
      <c r="B5" s="13">
        <v>60</v>
      </c>
      <c r="C5" s="2" t="s">
        <v>166</v>
      </c>
      <c r="D5" s="8" t="str">
        <f>HYPERLINK("http://"&amp;"10."&amp;"4."&amp;VALUE(B5)&amp;".100")</f>
        <v>http://10.4.60.100</v>
      </c>
      <c r="F5" t="str">
        <f t="array" ref="F5">RIGHT(D5,10)</f>
        <v>0.4.60.100</v>
      </c>
      <c r="G5" t="str">
        <f t="array" ref="G5">IF(LEFT(F5)="1",RIGHT(D5,10),RIGHT(D5,11))</f>
        <v>10.4.60.100</v>
      </c>
    </row>
    <row r="6" spans="1:7" x14ac:dyDescent="0.35">
      <c r="A6"/>
      <c r="B6"/>
      <c r="C6"/>
      <c r="D6"/>
    </row>
    <row r="7" spans="1:7" x14ac:dyDescent="0.35">
      <c r="A7"/>
      <c r="B7"/>
      <c r="C7"/>
      <c r="D7"/>
    </row>
    <row r="8" spans="1:7" x14ac:dyDescent="0.35">
      <c r="A8"/>
      <c r="B8"/>
      <c r="C8"/>
      <c r="D8"/>
    </row>
    <row r="9" spans="1:7" x14ac:dyDescent="0.35">
      <c r="A9"/>
      <c r="B9"/>
      <c r="C9"/>
      <c r="D9"/>
    </row>
    <row r="10" spans="1:7" x14ac:dyDescent="0.35">
      <c r="A10"/>
      <c r="B10"/>
      <c r="C10"/>
      <c r="D10"/>
    </row>
    <row r="11" spans="1:7" x14ac:dyDescent="0.35">
      <c r="A11"/>
      <c r="B11"/>
      <c r="C11"/>
      <c r="D11"/>
    </row>
    <row r="12" spans="1:7" x14ac:dyDescent="0.35">
      <c r="A12"/>
      <c r="B12"/>
      <c r="C12"/>
      <c r="D12"/>
    </row>
    <row r="13" spans="1:7" x14ac:dyDescent="0.35">
      <c r="A13"/>
      <c r="B13"/>
      <c r="C13"/>
      <c r="D13"/>
    </row>
    <row r="14" spans="1:7" x14ac:dyDescent="0.35">
      <c r="A14"/>
      <c r="B14"/>
      <c r="C14"/>
      <c r="D14"/>
    </row>
    <row r="15" spans="1:7" x14ac:dyDescent="0.35">
      <c r="A15"/>
      <c r="B15"/>
      <c r="C15"/>
      <c r="D15"/>
    </row>
    <row r="16" spans="1:7" x14ac:dyDescent="0.35">
      <c r="A16"/>
      <c r="B16"/>
      <c r="C16"/>
      <c r="D16"/>
    </row>
    <row r="17" customFormat="1" x14ac:dyDescent="0.35"/>
    <row r="18" customFormat="1" x14ac:dyDescent="0.35"/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5E4-B216-42B2-A434-E1E46DCBA3C2}">
  <sheetPr codeName="Hoja7"/>
  <dimension ref="A1:G137"/>
  <sheetViews>
    <sheetView topLeftCell="A31" workbookViewId="0">
      <selection activeCell="G2" sqref="G2"/>
    </sheetView>
  </sheetViews>
  <sheetFormatPr baseColWidth="10" defaultRowHeight="14.5" x14ac:dyDescent="0.35"/>
  <cols>
    <col min="1" max="1" width="11.6328125" style="15" customWidth="1"/>
    <col min="2" max="2" width="14" style="12" bestFit="1" customWidth="1"/>
    <col min="3" max="3" width="24.90625" style="12" bestFit="1" customWidth="1"/>
    <col min="4" max="4" width="15.54296875" style="17" bestFit="1" customWidth="1"/>
    <col min="6" max="6" width="9.453125" bestFit="1" customWidth="1"/>
    <col min="7" max="7" width="10.453125" bestFit="1" customWidth="1"/>
  </cols>
  <sheetData>
    <row r="1" spans="1:7" x14ac:dyDescent="0.35">
      <c r="A1" s="15" t="s">
        <v>171</v>
      </c>
      <c r="B1" s="11" t="s">
        <v>0</v>
      </c>
      <c r="C1" s="11" t="s">
        <v>1</v>
      </c>
      <c r="D1" s="14" t="s">
        <v>229</v>
      </c>
    </row>
    <row r="2" spans="1:7" x14ac:dyDescent="0.35">
      <c r="A2" s="16">
        <v>5</v>
      </c>
      <c r="B2" s="15">
        <v>1</v>
      </c>
      <c r="C2" s="11" t="s">
        <v>121</v>
      </c>
      <c r="D2" s="18" t="str">
        <f t="shared" ref="D2:D33" si="0">HYPERLINK("http://10.5."&amp;VALUE(B2)&amp;".100")</f>
        <v>http://10.5.1.100</v>
      </c>
      <c r="F2" t="str">
        <f t="array" ref="F2">RIGHT(D2,10)</f>
        <v>10.5.1.100</v>
      </c>
      <c r="G2" t="str">
        <f t="array" ref="G2">IF(LEFT(F2)="1",RIGHT(D2,10),RIGHT(D2,11))</f>
        <v>10.5.1.100</v>
      </c>
    </row>
    <row r="3" spans="1:7" x14ac:dyDescent="0.35">
      <c r="A3" s="16">
        <v>5</v>
      </c>
      <c r="B3" s="15">
        <v>2</v>
      </c>
      <c r="C3" s="11" t="s">
        <v>122</v>
      </c>
      <c r="D3" s="19" t="str">
        <f t="shared" si="0"/>
        <v>http://10.5.2.100</v>
      </c>
      <c r="F3" t="str">
        <f t="array" ref="F3">RIGHT(D3,10)</f>
        <v>10.5.2.100</v>
      </c>
      <c r="G3" t="str">
        <f t="array" ref="G3">IF(LEFT(F3)="1",RIGHT(D3,10),RIGHT(D3,11))</f>
        <v>10.5.2.100</v>
      </c>
    </row>
    <row r="4" spans="1:7" x14ac:dyDescent="0.35">
      <c r="A4" s="16">
        <v>5</v>
      </c>
      <c r="B4" s="15">
        <v>3</v>
      </c>
      <c r="C4" s="11" t="s">
        <v>122</v>
      </c>
      <c r="D4" s="19" t="str">
        <f t="shared" si="0"/>
        <v>http://10.5.3.100</v>
      </c>
      <c r="F4" t="str">
        <f t="array" ref="F4">RIGHT(D4,10)</f>
        <v>10.5.3.100</v>
      </c>
      <c r="G4" t="str">
        <f t="array" ref="G4">IF(LEFT(F4)="1",RIGHT(D4,10),RIGHT(D4,11))</f>
        <v>10.5.3.100</v>
      </c>
    </row>
    <row r="5" spans="1:7" x14ac:dyDescent="0.35">
      <c r="A5" s="16">
        <v>5</v>
      </c>
      <c r="B5" s="15">
        <v>4</v>
      </c>
      <c r="C5" s="11" t="s">
        <v>123</v>
      </c>
      <c r="D5" s="19" t="str">
        <f t="shared" si="0"/>
        <v>http://10.5.4.100</v>
      </c>
      <c r="F5" t="str">
        <f t="array" ref="F5">RIGHT(D5,10)</f>
        <v>10.5.4.100</v>
      </c>
      <c r="G5" t="str">
        <f t="array" ref="G5">IF(LEFT(F5)="1",RIGHT(D5,10),RIGHT(D5,11))</f>
        <v>10.5.4.100</v>
      </c>
    </row>
    <row r="6" spans="1:7" x14ac:dyDescent="0.35">
      <c r="A6" s="16">
        <v>5</v>
      </c>
      <c r="B6" s="15">
        <v>5</v>
      </c>
      <c r="C6" s="11" t="s">
        <v>124</v>
      </c>
      <c r="D6" s="19" t="str">
        <f t="shared" si="0"/>
        <v>http://10.5.5.100</v>
      </c>
      <c r="F6" t="str">
        <f t="array" ref="F6">RIGHT(D6,10)</f>
        <v>10.5.5.100</v>
      </c>
      <c r="G6" t="str">
        <f t="array" ref="G6">IF(LEFT(F6)="1",RIGHT(D6,10),RIGHT(D6,11))</f>
        <v>10.5.5.100</v>
      </c>
    </row>
    <row r="7" spans="1:7" x14ac:dyDescent="0.35">
      <c r="A7" s="16">
        <v>5</v>
      </c>
      <c r="B7" s="15">
        <v>6</v>
      </c>
      <c r="C7" s="11" t="s">
        <v>125</v>
      </c>
      <c r="D7" s="19" t="str">
        <f t="shared" si="0"/>
        <v>http://10.5.6.100</v>
      </c>
      <c r="F7" t="str">
        <f t="array" ref="F7">RIGHT(D7,10)</f>
        <v>10.5.6.100</v>
      </c>
      <c r="G7" t="str">
        <f t="array" ref="G7">IF(LEFT(F7)="1",RIGHT(D7,10),RIGHT(D7,11))</f>
        <v>10.5.6.100</v>
      </c>
    </row>
    <row r="8" spans="1:7" x14ac:dyDescent="0.35">
      <c r="A8" s="16">
        <v>5</v>
      </c>
      <c r="B8" s="15">
        <v>7</v>
      </c>
      <c r="C8" s="11" t="s">
        <v>126</v>
      </c>
      <c r="D8" s="19" t="str">
        <f t="shared" si="0"/>
        <v>http://10.5.7.100</v>
      </c>
      <c r="F8" t="str">
        <f t="array" ref="F8">RIGHT(D8,10)</f>
        <v>10.5.7.100</v>
      </c>
      <c r="G8" t="str">
        <f t="array" ref="G8">IF(LEFT(F8)="1",RIGHT(D8,10),RIGHT(D8,11))</f>
        <v>10.5.7.100</v>
      </c>
    </row>
    <row r="9" spans="1:7" x14ac:dyDescent="0.35">
      <c r="A9" s="16">
        <v>5</v>
      </c>
      <c r="B9" s="15">
        <v>8</v>
      </c>
      <c r="C9" s="11" t="s">
        <v>173</v>
      </c>
      <c r="D9" s="19" t="str">
        <f t="shared" si="0"/>
        <v>http://10.5.8.100</v>
      </c>
      <c r="F9" t="str">
        <f t="array" ref="F9">RIGHT(D9,10)</f>
        <v>10.5.8.100</v>
      </c>
      <c r="G9" t="str">
        <f t="array" ref="G9">IF(LEFT(F9)="1",RIGHT(D9,10),RIGHT(D9,11))</f>
        <v>10.5.8.100</v>
      </c>
    </row>
    <row r="10" spans="1:7" x14ac:dyDescent="0.35">
      <c r="A10" s="16">
        <v>5</v>
      </c>
      <c r="B10" s="15">
        <v>9</v>
      </c>
      <c r="C10" s="11" t="s">
        <v>127</v>
      </c>
      <c r="D10" s="19" t="str">
        <f t="shared" si="0"/>
        <v>http://10.5.9.100</v>
      </c>
      <c r="F10" t="str">
        <f t="array" ref="F10">RIGHT(D10,10)</f>
        <v>10.5.9.100</v>
      </c>
      <c r="G10" t="str">
        <f t="array" ref="G10">IF(LEFT(F10)="1",RIGHT(D10,10),RIGHT(D10,11))</f>
        <v>10.5.9.100</v>
      </c>
    </row>
    <row r="11" spans="1:7" x14ac:dyDescent="0.35">
      <c r="A11" s="16">
        <v>5</v>
      </c>
      <c r="B11" s="15">
        <v>10</v>
      </c>
      <c r="C11" s="11" t="s">
        <v>128</v>
      </c>
      <c r="D11" s="19" t="str">
        <f t="shared" si="0"/>
        <v>http://10.5.10.100</v>
      </c>
      <c r="F11" t="str">
        <f t="array" ref="F11">RIGHT(D11,10)</f>
        <v>0.5.10.100</v>
      </c>
      <c r="G11" t="str">
        <f t="array" ref="G11">IF(LEFT(F11)="1",RIGHT(D11,10),RIGHT(D11,11))</f>
        <v>10.5.10.100</v>
      </c>
    </row>
    <row r="12" spans="1:7" x14ac:dyDescent="0.35">
      <c r="A12" s="16">
        <v>5</v>
      </c>
      <c r="B12" s="15">
        <v>11</v>
      </c>
      <c r="C12" s="11" t="s">
        <v>129</v>
      </c>
      <c r="D12" s="19" t="str">
        <f t="shared" si="0"/>
        <v>http://10.5.11.100</v>
      </c>
      <c r="F12" t="str">
        <f t="array" ref="F12">RIGHT(D12,10)</f>
        <v>0.5.11.100</v>
      </c>
      <c r="G12" t="str">
        <f t="array" ref="G12">IF(LEFT(F12)="1",RIGHT(D12,10),RIGHT(D12,11))</f>
        <v>10.5.11.100</v>
      </c>
    </row>
    <row r="13" spans="1:7" x14ac:dyDescent="0.35">
      <c r="A13" s="16">
        <v>5</v>
      </c>
      <c r="B13" s="15">
        <v>12</v>
      </c>
      <c r="C13" s="11" t="s">
        <v>130</v>
      </c>
      <c r="D13" s="19" t="str">
        <f t="shared" si="0"/>
        <v>http://10.5.12.100</v>
      </c>
      <c r="F13" t="str">
        <f t="array" ref="F13">RIGHT(D13,10)</f>
        <v>0.5.12.100</v>
      </c>
      <c r="G13" t="str">
        <f t="array" ref="G13">IF(LEFT(F13)="1",RIGHT(D13,10),RIGHT(D13,11))</f>
        <v>10.5.12.100</v>
      </c>
    </row>
    <row r="14" spans="1:7" x14ac:dyDescent="0.35">
      <c r="A14" s="16">
        <v>5</v>
      </c>
      <c r="B14" s="15">
        <v>13</v>
      </c>
      <c r="C14" s="11" t="s">
        <v>131</v>
      </c>
      <c r="D14" s="19" t="str">
        <f t="shared" si="0"/>
        <v>http://10.5.13.100</v>
      </c>
      <c r="F14" t="str">
        <f t="array" ref="F14">RIGHT(D14,10)</f>
        <v>0.5.13.100</v>
      </c>
      <c r="G14" t="str">
        <f t="array" ref="G14">IF(LEFT(F14)="1",RIGHT(D14,10),RIGHT(D14,11))</f>
        <v>10.5.13.100</v>
      </c>
    </row>
    <row r="15" spans="1:7" x14ac:dyDescent="0.35">
      <c r="A15" s="16">
        <v>5</v>
      </c>
      <c r="B15" s="15">
        <v>14</v>
      </c>
      <c r="C15" s="11" t="s">
        <v>132</v>
      </c>
      <c r="D15" s="19" t="str">
        <f t="shared" si="0"/>
        <v>http://10.5.14.100</v>
      </c>
      <c r="F15" t="str">
        <f t="array" ref="F15">RIGHT(D15,10)</f>
        <v>0.5.14.100</v>
      </c>
      <c r="G15" t="str">
        <f t="array" ref="G15">IF(LEFT(F15)="1",RIGHT(D15,10),RIGHT(D15,11))</f>
        <v>10.5.14.100</v>
      </c>
    </row>
    <row r="16" spans="1:7" x14ac:dyDescent="0.35">
      <c r="A16" s="16">
        <v>5</v>
      </c>
      <c r="B16" s="15">
        <v>15</v>
      </c>
      <c r="C16" s="11" t="s">
        <v>163</v>
      </c>
      <c r="D16" s="19" t="str">
        <f t="shared" si="0"/>
        <v>http://10.5.15.100</v>
      </c>
      <c r="F16" t="str">
        <f t="array" ref="F16">RIGHT(D16,10)</f>
        <v>0.5.15.100</v>
      </c>
      <c r="G16" t="str">
        <f t="array" ref="G16">IF(LEFT(F16)="1",RIGHT(D16,10),RIGHT(D16,11))</f>
        <v>10.5.15.100</v>
      </c>
    </row>
    <row r="17" spans="1:7" x14ac:dyDescent="0.35">
      <c r="A17" s="16">
        <v>5</v>
      </c>
      <c r="B17" s="15">
        <v>16</v>
      </c>
      <c r="C17" s="11" t="s">
        <v>133</v>
      </c>
      <c r="D17" s="19" t="str">
        <f t="shared" si="0"/>
        <v>http://10.5.16.100</v>
      </c>
      <c r="F17" t="str">
        <f t="array" ref="F17">RIGHT(D17,10)</f>
        <v>0.5.16.100</v>
      </c>
      <c r="G17" t="str">
        <f t="array" ref="G17">IF(LEFT(F17)="1",RIGHT(D17,10),RIGHT(D17,11))</f>
        <v>10.5.16.100</v>
      </c>
    </row>
    <row r="18" spans="1:7" x14ac:dyDescent="0.35">
      <c r="A18" s="16">
        <v>5</v>
      </c>
      <c r="B18" s="15">
        <v>17</v>
      </c>
      <c r="C18" s="11" t="s">
        <v>134</v>
      </c>
      <c r="D18" s="19" t="str">
        <f t="shared" si="0"/>
        <v>http://10.5.17.100</v>
      </c>
      <c r="F18" t="str">
        <f t="array" ref="F18">RIGHT(D18,10)</f>
        <v>0.5.17.100</v>
      </c>
      <c r="G18" t="str">
        <f t="array" ref="G18">IF(LEFT(F18)="1",RIGHT(D18,10),RIGHT(D18,11))</f>
        <v>10.5.17.100</v>
      </c>
    </row>
    <row r="19" spans="1:7" x14ac:dyDescent="0.35">
      <c r="A19" s="16">
        <v>5</v>
      </c>
      <c r="B19" s="15">
        <v>18</v>
      </c>
      <c r="C19" s="11" t="s">
        <v>135</v>
      </c>
      <c r="D19" s="19" t="str">
        <f t="shared" si="0"/>
        <v>http://10.5.18.100</v>
      </c>
      <c r="F19" t="str">
        <f t="array" ref="F19">RIGHT(D19,10)</f>
        <v>0.5.18.100</v>
      </c>
      <c r="G19" t="str">
        <f t="array" ref="G19">IF(LEFT(F19)="1",RIGHT(D19,10),RIGHT(D19,11))</f>
        <v>10.5.18.100</v>
      </c>
    </row>
    <row r="20" spans="1:7" x14ac:dyDescent="0.35">
      <c r="A20" s="16">
        <v>5</v>
      </c>
      <c r="B20" s="15">
        <v>19</v>
      </c>
      <c r="C20" s="11" t="s">
        <v>136</v>
      </c>
      <c r="D20" s="19" t="str">
        <f t="shared" si="0"/>
        <v>http://10.5.19.100</v>
      </c>
      <c r="F20" t="str">
        <f t="array" ref="F20">RIGHT(D20,10)</f>
        <v>0.5.19.100</v>
      </c>
      <c r="G20" t="str">
        <f t="array" ref="G20">IF(LEFT(F20)="1",RIGHT(D20,10),RIGHT(D20,11))</f>
        <v>10.5.19.100</v>
      </c>
    </row>
    <row r="21" spans="1:7" x14ac:dyDescent="0.35">
      <c r="A21" s="16">
        <v>5</v>
      </c>
      <c r="B21" s="15">
        <v>20</v>
      </c>
      <c r="C21" s="11" t="s">
        <v>137</v>
      </c>
      <c r="D21" s="19" t="str">
        <f t="shared" si="0"/>
        <v>http://10.5.20.100</v>
      </c>
      <c r="F21" t="str">
        <f t="array" ref="F21">RIGHT(D21,10)</f>
        <v>0.5.20.100</v>
      </c>
      <c r="G21" t="str">
        <f t="array" ref="G21">IF(LEFT(F21)="1",RIGHT(D21,10),RIGHT(D21,11))</f>
        <v>10.5.20.100</v>
      </c>
    </row>
    <row r="22" spans="1:7" x14ac:dyDescent="0.35">
      <c r="A22" s="16">
        <v>5</v>
      </c>
      <c r="B22" s="15">
        <v>21</v>
      </c>
      <c r="C22" s="11" t="s">
        <v>138</v>
      </c>
      <c r="D22" s="19" t="str">
        <f t="shared" si="0"/>
        <v>http://10.5.21.100</v>
      </c>
      <c r="F22" t="str">
        <f t="array" ref="F22">RIGHT(D22,10)</f>
        <v>0.5.21.100</v>
      </c>
      <c r="G22" t="str">
        <f t="array" ref="G22">IF(LEFT(F22)="1",RIGHT(D22,10),RIGHT(D22,11))</f>
        <v>10.5.21.100</v>
      </c>
    </row>
    <row r="23" spans="1:7" x14ac:dyDescent="0.35">
      <c r="A23" s="16">
        <v>5</v>
      </c>
      <c r="B23" s="15">
        <v>22</v>
      </c>
      <c r="C23" s="11" t="s">
        <v>139</v>
      </c>
      <c r="D23" s="19" t="str">
        <f t="shared" si="0"/>
        <v>http://10.5.22.100</v>
      </c>
      <c r="F23" t="str">
        <f t="array" ref="F23">RIGHT(D23,10)</f>
        <v>0.5.22.100</v>
      </c>
      <c r="G23" t="str">
        <f t="array" ref="G23">IF(LEFT(F23)="1",RIGHT(D23,10),RIGHT(D23,11))</f>
        <v>10.5.22.100</v>
      </c>
    </row>
    <row r="24" spans="1:7" x14ac:dyDescent="0.35">
      <c r="A24" s="16">
        <v>5</v>
      </c>
      <c r="B24" s="15">
        <v>23</v>
      </c>
      <c r="C24" s="11" t="s">
        <v>140</v>
      </c>
      <c r="D24" s="19" t="str">
        <f t="shared" si="0"/>
        <v>http://10.5.23.100</v>
      </c>
      <c r="F24" t="str">
        <f t="array" ref="F24">RIGHT(D24,10)</f>
        <v>0.5.23.100</v>
      </c>
      <c r="G24" t="str">
        <f t="array" ref="G24">IF(LEFT(F24)="1",RIGHT(D24,10),RIGHT(D24,11))</f>
        <v>10.5.23.100</v>
      </c>
    </row>
    <row r="25" spans="1:7" x14ac:dyDescent="0.35">
      <c r="A25" s="16">
        <v>5</v>
      </c>
      <c r="B25" s="15">
        <v>24</v>
      </c>
      <c r="C25" s="11" t="s">
        <v>38</v>
      </c>
      <c r="D25" s="19" t="str">
        <f t="shared" si="0"/>
        <v>http://10.5.24.100</v>
      </c>
      <c r="F25" t="str">
        <f t="array" ref="F25">RIGHT(D25,10)</f>
        <v>0.5.24.100</v>
      </c>
      <c r="G25" t="str">
        <f t="array" ref="G25">IF(LEFT(F25)="1",RIGHT(D25,10),RIGHT(D25,11))</f>
        <v>10.5.24.100</v>
      </c>
    </row>
    <row r="26" spans="1:7" x14ac:dyDescent="0.35">
      <c r="A26" s="16">
        <v>5</v>
      </c>
      <c r="B26" s="12">
        <v>26</v>
      </c>
      <c r="C26" s="11" t="s">
        <v>141</v>
      </c>
      <c r="D26" s="19" t="str">
        <f t="shared" si="0"/>
        <v>http://10.5.26.100</v>
      </c>
      <c r="F26" t="str">
        <f t="array" ref="F26">RIGHT(D26,10)</f>
        <v>0.5.26.100</v>
      </c>
      <c r="G26" t="str">
        <f t="array" ref="G26">IF(LEFT(F26)="1",RIGHT(D26,10),RIGHT(D26,11))</f>
        <v>10.5.26.100</v>
      </c>
    </row>
    <row r="27" spans="1:7" x14ac:dyDescent="0.35">
      <c r="A27" s="16">
        <v>5</v>
      </c>
      <c r="B27" s="15">
        <v>27</v>
      </c>
      <c r="C27" s="11" t="s">
        <v>142</v>
      </c>
      <c r="D27" s="19" t="str">
        <f t="shared" si="0"/>
        <v>http://10.5.27.100</v>
      </c>
      <c r="F27" t="str">
        <f t="array" ref="F27">RIGHT(D27,10)</f>
        <v>0.5.27.100</v>
      </c>
      <c r="G27" t="str">
        <f t="array" ref="G27">IF(LEFT(F27)="1",RIGHT(D27,10),RIGHT(D27,11))</f>
        <v>10.5.27.100</v>
      </c>
    </row>
    <row r="28" spans="1:7" x14ac:dyDescent="0.35">
      <c r="A28" s="16">
        <v>5</v>
      </c>
      <c r="B28" s="15">
        <v>28</v>
      </c>
      <c r="C28" s="11" t="s">
        <v>143</v>
      </c>
      <c r="D28" s="19" t="str">
        <f t="shared" si="0"/>
        <v>http://10.5.28.100</v>
      </c>
      <c r="F28" t="str">
        <f t="array" ref="F28">RIGHT(D28,10)</f>
        <v>0.5.28.100</v>
      </c>
      <c r="G28" t="str">
        <f t="array" ref="G28">IF(LEFT(F28)="1",RIGHT(D28,10),RIGHT(D28,11))</f>
        <v>10.5.28.100</v>
      </c>
    </row>
    <row r="29" spans="1:7" x14ac:dyDescent="0.35">
      <c r="A29" s="16">
        <v>5</v>
      </c>
      <c r="B29" s="15">
        <v>29</v>
      </c>
      <c r="C29" s="11" t="s">
        <v>167</v>
      </c>
      <c r="D29" s="19" t="str">
        <f t="shared" si="0"/>
        <v>http://10.5.29.100</v>
      </c>
      <c r="F29" t="str">
        <f t="array" ref="F29">RIGHT(D29,10)</f>
        <v>0.5.29.100</v>
      </c>
      <c r="G29" t="str">
        <f t="array" ref="G29">IF(LEFT(F29)="1",RIGHT(D29,10),RIGHT(D29,11))</f>
        <v>10.5.29.100</v>
      </c>
    </row>
    <row r="30" spans="1:7" x14ac:dyDescent="0.35">
      <c r="A30" s="16">
        <v>5</v>
      </c>
      <c r="B30" s="15">
        <v>30</v>
      </c>
      <c r="C30" s="11" t="s">
        <v>144</v>
      </c>
      <c r="D30" s="19" t="str">
        <f t="shared" si="0"/>
        <v>http://10.5.30.100</v>
      </c>
      <c r="F30" t="str">
        <f t="array" ref="F30">RIGHT(D30,10)</f>
        <v>0.5.30.100</v>
      </c>
      <c r="G30" t="str">
        <f t="array" ref="G30">IF(LEFT(F30)="1",RIGHT(D30,10),RIGHT(D30,11))</f>
        <v>10.5.30.100</v>
      </c>
    </row>
    <row r="31" spans="1:7" x14ac:dyDescent="0.35">
      <c r="A31" s="16">
        <v>5</v>
      </c>
      <c r="B31" s="15">
        <v>31</v>
      </c>
      <c r="C31" s="11" t="s">
        <v>145</v>
      </c>
      <c r="D31" s="19" t="str">
        <f t="shared" si="0"/>
        <v>http://10.5.31.100</v>
      </c>
      <c r="F31" t="str">
        <f t="array" ref="F31">RIGHT(D31,10)</f>
        <v>0.5.31.100</v>
      </c>
      <c r="G31" t="str">
        <f t="array" ref="G31">IF(LEFT(F31)="1",RIGHT(D31,10),RIGHT(D31,11))</f>
        <v>10.5.31.100</v>
      </c>
    </row>
    <row r="32" spans="1:7" x14ac:dyDescent="0.35">
      <c r="A32" s="16">
        <v>5</v>
      </c>
      <c r="B32" s="15">
        <v>32</v>
      </c>
      <c r="C32" s="11" t="s">
        <v>146</v>
      </c>
      <c r="D32" s="19" t="str">
        <f t="shared" si="0"/>
        <v>http://10.5.32.100</v>
      </c>
      <c r="F32" t="str">
        <f t="array" ref="F32">RIGHT(D32,10)</f>
        <v>0.5.32.100</v>
      </c>
      <c r="G32" t="str">
        <f t="array" ref="G32">IF(LEFT(F32)="1",RIGHT(D32,10),RIGHT(D32,11))</f>
        <v>10.5.32.100</v>
      </c>
    </row>
    <row r="33" spans="1:7" x14ac:dyDescent="0.35">
      <c r="A33" s="16">
        <v>5</v>
      </c>
      <c r="B33" s="15">
        <v>33</v>
      </c>
      <c r="C33" s="11" t="s">
        <v>147</v>
      </c>
      <c r="D33" s="19" t="str">
        <f t="shared" si="0"/>
        <v>http://10.5.33.100</v>
      </c>
      <c r="F33" t="str">
        <f t="array" ref="F33">RIGHT(D33,10)</f>
        <v>0.5.33.100</v>
      </c>
      <c r="G33" t="str">
        <f t="array" ref="G33">IF(LEFT(F33)="1",RIGHT(D33,10),RIGHT(D33,11))</f>
        <v>10.5.33.100</v>
      </c>
    </row>
    <row r="34" spans="1:7" x14ac:dyDescent="0.35">
      <c r="A34" s="16">
        <v>5</v>
      </c>
      <c r="B34" s="15">
        <v>34</v>
      </c>
      <c r="C34" s="11" t="s">
        <v>148</v>
      </c>
      <c r="D34" s="19" t="str">
        <f t="shared" ref="D34:D52" si="1">HYPERLINK("http://10.5."&amp;VALUE(B34)&amp;".100")</f>
        <v>http://10.5.34.100</v>
      </c>
      <c r="F34" t="str">
        <f t="array" ref="F34">RIGHT(D34,10)</f>
        <v>0.5.34.100</v>
      </c>
      <c r="G34" t="str">
        <f t="array" ref="G34">IF(LEFT(F34)="1",RIGHT(D34,10),RIGHT(D34,11))</f>
        <v>10.5.34.100</v>
      </c>
    </row>
    <row r="35" spans="1:7" x14ac:dyDescent="0.35">
      <c r="A35" s="16">
        <v>5</v>
      </c>
      <c r="B35" s="15">
        <v>35</v>
      </c>
      <c r="C35" s="11" t="s">
        <v>149</v>
      </c>
      <c r="D35" s="19" t="str">
        <f t="shared" si="1"/>
        <v>http://10.5.35.100</v>
      </c>
      <c r="F35" t="str">
        <f t="array" ref="F35">RIGHT(D35,10)</f>
        <v>0.5.35.100</v>
      </c>
      <c r="G35" t="str">
        <f t="array" ref="G35">IF(LEFT(F35)="1",RIGHT(D35,10),RIGHT(D35,11))</f>
        <v>10.5.35.100</v>
      </c>
    </row>
    <row r="36" spans="1:7" x14ac:dyDescent="0.35">
      <c r="A36" s="16">
        <v>5</v>
      </c>
      <c r="B36" s="15">
        <v>36</v>
      </c>
      <c r="C36" s="11" t="s">
        <v>150</v>
      </c>
      <c r="D36" s="19" t="str">
        <f t="shared" si="1"/>
        <v>http://10.5.36.100</v>
      </c>
      <c r="F36" t="str">
        <f t="array" ref="F36">RIGHT(D36,10)</f>
        <v>0.5.36.100</v>
      </c>
      <c r="G36" t="str">
        <f t="array" ref="G36">IF(LEFT(F36)="1",RIGHT(D36,10),RIGHT(D36,11))</f>
        <v>10.5.36.100</v>
      </c>
    </row>
    <row r="37" spans="1:7" x14ac:dyDescent="0.35">
      <c r="A37" s="16">
        <v>5</v>
      </c>
      <c r="B37" s="15">
        <v>37</v>
      </c>
      <c r="C37" s="11" t="s">
        <v>151</v>
      </c>
      <c r="D37" s="19" t="str">
        <f t="shared" si="1"/>
        <v>http://10.5.37.100</v>
      </c>
      <c r="F37" t="str">
        <f t="array" ref="F37">RIGHT(D37,10)</f>
        <v>0.5.37.100</v>
      </c>
      <c r="G37" t="str">
        <f t="array" ref="G37">IF(LEFT(F37)="1",RIGHT(D37,10),RIGHT(D37,11))</f>
        <v>10.5.37.100</v>
      </c>
    </row>
    <row r="38" spans="1:7" x14ac:dyDescent="0.35">
      <c r="A38" s="16">
        <v>5</v>
      </c>
      <c r="B38" s="15">
        <v>38</v>
      </c>
      <c r="C38" s="11" t="s">
        <v>228</v>
      </c>
      <c r="D38" s="19" t="str">
        <f t="shared" si="1"/>
        <v>http://10.5.38.100</v>
      </c>
      <c r="F38" t="str">
        <f t="array" ref="F38">RIGHT(D38,10)</f>
        <v>0.5.38.100</v>
      </c>
      <c r="G38" t="str">
        <f t="array" ref="G38">IF(LEFT(F38)="1",RIGHT(D38,10),RIGHT(D38,11))</f>
        <v>10.5.38.100</v>
      </c>
    </row>
    <row r="39" spans="1:7" x14ac:dyDescent="0.35">
      <c r="A39" s="16">
        <v>5</v>
      </c>
      <c r="B39" s="15">
        <v>39</v>
      </c>
      <c r="C39" s="11" t="s">
        <v>152</v>
      </c>
      <c r="D39" s="19" t="str">
        <f t="shared" si="1"/>
        <v>http://10.5.39.100</v>
      </c>
      <c r="F39" t="str">
        <f t="array" ref="F39">RIGHT(D39,10)</f>
        <v>0.5.39.100</v>
      </c>
      <c r="G39" t="str">
        <f t="array" ref="G39">IF(LEFT(F39)="1",RIGHT(D39,10),RIGHT(D39,11))</f>
        <v>10.5.39.100</v>
      </c>
    </row>
    <row r="40" spans="1:7" x14ac:dyDescent="0.35">
      <c r="A40" s="16">
        <v>5</v>
      </c>
      <c r="B40" s="15">
        <v>40</v>
      </c>
      <c r="C40" s="11" t="s">
        <v>153</v>
      </c>
      <c r="D40" s="19" t="str">
        <f t="shared" si="1"/>
        <v>http://10.5.40.100</v>
      </c>
      <c r="F40" t="str">
        <f t="array" ref="F40">RIGHT(D40,10)</f>
        <v>0.5.40.100</v>
      </c>
      <c r="G40" t="str">
        <f t="array" ref="G40">IF(LEFT(F40)="1",RIGHT(D40,10),RIGHT(D40,11))</f>
        <v>10.5.40.100</v>
      </c>
    </row>
    <row r="41" spans="1:7" x14ac:dyDescent="0.35">
      <c r="A41" s="16">
        <v>5</v>
      </c>
      <c r="B41" s="15">
        <v>41</v>
      </c>
      <c r="C41" s="11" t="s">
        <v>154</v>
      </c>
      <c r="D41" s="19" t="str">
        <f t="shared" si="1"/>
        <v>http://10.5.41.100</v>
      </c>
      <c r="F41" t="str">
        <f t="array" ref="F41">RIGHT(D41,10)</f>
        <v>0.5.41.100</v>
      </c>
      <c r="G41" t="str">
        <f t="array" ref="G41">IF(LEFT(F41)="1",RIGHT(D41,10),RIGHT(D41,11))</f>
        <v>10.5.41.100</v>
      </c>
    </row>
    <row r="42" spans="1:7" x14ac:dyDescent="0.35">
      <c r="A42" s="16">
        <v>5</v>
      </c>
      <c r="B42" s="15">
        <v>42</v>
      </c>
      <c r="C42" s="11" t="s">
        <v>170</v>
      </c>
      <c r="D42" s="19" t="str">
        <f t="shared" si="1"/>
        <v>http://10.5.42.100</v>
      </c>
      <c r="F42" t="str">
        <f t="array" ref="F42">RIGHT(D42,10)</f>
        <v>0.5.42.100</v>
      </c>
      <c r="G42" t="str">
        <f t="array" ref="G42">IF(LEFT(F42)="1",RIGHT(D42,10),RIGHT(D42,11))</f>
        <v>10.5.42.100</v>
      </c>
    </row>
    <row r="43" spans="1:7" x14ac:dyDescent="0.35">
      <c r="A43" s="16">
        <v>5</v>
      </c>
      <c r="B43" s="15">
        <v>43</v>
      </c>
      <c r="C43" s="11" t="s">
        <v>155</v>
      </c>
      <c r="D43" s="19" t="str">
        <f t="shared" si="1"/>
        <v>http://10.5.43.100</v>
      </c>
      <c r="F43" t="str">
        <f t="array" ref="F43">RIGHT(D43,10)</f>
        <v>0.5.43.100</v>
      </c>
      <c r="G43" t="str">
        <f t="array" ref="G43">IF(LEFT(F43)="1",RIGHT(D43,10),RIGHT(D43,11))</f>
        <v>10.5.43.100</v>
      </c>
    </row>
    <row r="44" spans="1:7" x14ac:dyDescent="0.35">
      <c r="A44" s="16">
        <v>5</v>
      </c>
      <c r="B44" s="15">
        <v>44</v>
      </c>
      <c r="C44" s="11" t="s">
        <v>156</v>
      </c>
      <c r="D44" s="19" t="str">
        <f t="shared" si="1"/>
        <v>http://10.5.44.100</v>
      </c>
      <c r="F44" t="str">
        <f t="array" ref="F44">RIGHT(D44,10)</f>
        <v>0.5.44.100</v>
      </c>
      <c r="G44" t="str">
        <f t="array" ref="G44">IF(LEFT(F44)="1",RIGHT(D44,10),RIGHT(D44,11))</f>
        <v>10.5.44.100</v>
      </c>
    </row>
    <row r="45" spans="1:7" x14ac:dyDescent="0.35">
      <c r="A45" s="16">
        <v>5</v>
      </c>
      <c r="B45" s="15">
        <v>45</v>
      </c>
      <c r="C45" s="11" t="s">
        <v>157</v>
      </c>
      <c r="D45" s="19" t="str">
        <f t="shared" si="1"/>
        <v>http://10.5.45.100</v>
      </c>
      <c r="F45" t="str">
        <f t="array" ref="F45">RIGHT(D45,10)</f>
        <v>0.5.45.100</v>
      </c>
      <c r="G45" t="str">
        <f t="array" ref="G45">IF(LEFT(F45)="1",RIGHT(D45,10),RIGHT(D45,11))</f>
        <v>10.5.45.100</v>
      </c>
    </row>
    <row r="46" spans="1:7" x14ac:dyDescent="0.35">
      <c r="A46" s="16">
        <v>5</v>
      </c>
      <c r="B46" s="15">
        <v>46</v>
      </c>
      <c r="C46" s="11" t="s">
        <v>158</v>
      </c>
      <c r="D46" s="19" t="str">
        <f t="shared" si="1"/>
        <v>http://10.5.46.100</v>
      </c>
      <c r="F46" t="str">
        <f t="array" ref="F46">RIGHT(D46,10)</f>
        <v>0.5.46.100</v>
      </c>
      <c r="G46" t="str">
        <f t="array" ref="G46">IF(LEFT(F46)="1",RIGHT(D46,10),RIGHT(D46,11))</f>
        <v>10.5.46.100</v>
      </c>
    </row>
    <row r="47" spans="1:7" x14ac:dyDescent="0.35">
      <c r="A47" s="16">
        <v>5</v>
      </c>
      <c r="B47" s="15">
        <v>47</v>
      </c>
      <c r="C47" s="11" t="s">
        <v>159</v>
      </c>
      <c r="D47" s="19" t="str">
        <f t="shared" si="1"/>
        <v>http://10.5.47.100</v>
      </c>
      <c r="F47" t="str">
        <f t="array" ref="F47">RIGHT(D47,10)</f>
        <v>0.5.47.100</v>
      </c>
      <c r="G47" t="str">
        <f t="array" ref="G47">IF(LEFT(F47)="1",RIGHT(D47,10),RIGHT(D47,11))</f>
        <v>10.5.47.100</v>
      </c>
    </row>
    <row r="48" spans="1:7" x14ac:dyDescent="0.35">
      <c r="A48" s="16">
        <v>5</v>
      </c>
      <c r="B48" s="15">
        <v>48</v>
      </c>
      <c r="C48" s="11" t="s">
        <v>160</v>
      </c>
      <c r="D48" s="19" t="str">
        <f t="shared" si="1"/>
        <v>http://10.5.48.100</v>
      </c>
      <c r="F48" t="str">
        <f t="array" ref="F48">RIGHT(D48,10)</f>
        <v>0.5.48.100</v>
      </c>
      <c r="G48" t="str">
        <f t="array" ref="G48">IF(LEFT(F48)="1",RIGHT(D48,10),RIGHT(D48,11))</f>
        <v>10.5.48.100</v>
      </c>
    </row>
    <row r="49" spans="1:7" x14ac:dyDescent="0.35">
      <c r="A49" s="16">
        <v>5</v>
      </c>
      <c r="B49" s="15">
        <v>49</v>
      </c>
      <c r="C49" s="11" t="s">
        <v>169</v>
      </c>
      <c r="D49" s="19" t="str">
        <f t="shared" si="1"/>
        <v>http://10.5.49.100</v>
      </c>
      <c r="F49" t="str">
        <f t="array" ref="F49">RIGHT(D49,10)</f>
        <v>0.5.49.100</v>
      </c>
      <c r="G49" t="str">
        <f t="array" ref="G49">IF(LEFT(F49)="1",RIGHT(D49,10),RIGHT(D49,11))</f>
        <v>10.5.49.100</v>
      </c>
    </row>
    <row r="50" spans="1:7" x14ac:dyDescent="0.35">
      <c r="A50" s="16">
        <v>5</v>
      </c>
      <c r="B50" s="15">
        <v>50</v>
      </c>
      <c r="C50" s="11" t="s">
        <v>161</v>
      </c>
      <c r="D50" s="19" t="str">
        <f t="shared" si="1"/>
        <v>http://10.5.50.100</v>
      </c>
      <c r="F50" t="str">
        <f t="array" ref="F50">RIGHT(D50,10)</f>
        <v>0.5.50.100</v>
      </c>
      <c r="G50" t="str">
        <f t="array" ref="G50">IF(LEFT(F50)="1",RIGHT(D50,10),RIGHT(D50,11))</f>
        <v>10.5.50.100</v>
      </c>
    </row>
    <row r="51" spans="1:7" x14ac:dyDescent="0.35">
      <c r="A51" s="16">
        <v>5</v>
      </c>
      <c r="B51" s="15">
        <v>51</v>
      </c>
      <c r="C51" s="11" t="s">
        <v>162</v>
      </c>
      <c r="D51" s="19" t="str">
        <f t="shared" si="1"/>
        <v>http://10.5.51.100</v>
      </c>
      <c r="F51" t="str">
        <f t="array" ref="F51">RIGHT(D51,10)</f>
        <v>0.5.51.100</v>
      </c>
      <c r="G51" t="str">
        <f t="array" ref="G51">IF(LEFT(F51)="1",RIGHT(D51,10),RIGHT(D51,11))</f>
        <v>10.5.51.100</v>
      </c>
    </row>
    <row r="52" spans="1:7" x14ac:dyDescent="0.35">
      <c r="A52" s="16">
        <v>5</v>
      </c>
      <c r="B52" s="15">
        <v>52</v>
      </c>
      <c r="C52" s="11" t="s">
        <v>168</v>
      </c>
      <c r="D52" s="19" t="str">
        <f t="shared" si="1"/>
        <v>http://10.5.52.100</v>
      </c>
      <c r="F52" t="str">
        <f t="array" ref="F52">RIGHT(D52,10)</f>
        <v>0.5.52.100</v>
      </c>
      <c r="G52" t="str">
        <f t="array" ref="G52">IF(LEFT(F52)="1",RIGHT(D52,10),RIGHT(D52,11))</f>
        <v>10.5.52.100</v>
      </c>
    </row>
    <row r="53" spans="1:7" x14ac:dyDescent="0.35">
      <c r="A53" s="12"/>
    </row>
    <row r="54" spans="1:7" x14ac:dyDescent="0.35">
      <c r="A54" s="12"/>
    </row>
    <row r="55" spans="1:7" x14ac:dyDescent="0.35">
      <c r="A55" s="12"/>
    </row>
    <row r="56" spans="1:7" x14ac:dyDescent="0.35">
      <c r="A56" s="12"/>
    </row>
    <row r="57" spans="1:7" x14ac:dyDescent="0.35">
      <c r="A57" s="12"/>
    </row>
    <row r="58" spans="1:7" x14ac:dyDescent="0.35">
      <c r="A58" s="12"/>
    </row>
    <row r="59" spans="1:7" x14ac:dyDescent="0.35">
      <c r="A59" s="12"/>
    </row>
    <row r="60" spans="1:7" x14ac:dyDescent="0.35">
      <c r="A60" s="12"/>
    </row>
    <row r="61" spans="1:7" x14ac:dyDescent="0.35">
      <c r="A61" s="12"/>
    </row>
    <row r="62" spans="1:7" x14ac:dyDescent="0.35">
      <c r="A62" s="12"/>
    </row>
    <row r="63" spans="1:7" x14ac:dyDescent="0.35">
      <c r="A63" s="12"/>
    </row>
    <row r="64" spans="1:7" x14ac:dyDescent="0.35">
      <c r="A64" s="12"/>
    </row>
    <row r="65" spans="1:1" x14ac:dyDescent="0.35">
      <c r="A65" s="12"/>
    </row>
    <row r="66" spans="1:1" x14ac:dyDescent="0.35">
      <c r="A66" s="12"/>
    </row>
    <row r="67" spans="1:1" x14ac:dyDescent="0.35">
      <c r="A67" s="12"/>
    </row>
    <row r="68" spans="1:1" x14ac:dyDescent="0.35">
      <c r="A68" s="12"/>
    </row>
    <row r="69" spans="1:1" x14ac:dyDescent="0.35">
      <c r="A69" s="12"/>
    </row>
    <row r="70" spans="1:1" x14ac:dyDescent="0.35">
      <c r="A70" s="12"/>
    </row>
    <row r="71" spans="1:1" x14ac:dyDescent="0.35">
      <c r="A71" s="12"/>
    </row>
    <row r="72" spans="1:1" x14ac:dyDescent="0.35">
      <c r="A72" s="12"/>
    </row>
    <row r="73" spans="1:1" x14ac:dyDescent="0.35">
      <c r="A73" s="12"/>
    </row>
    <row r="74" spans="1:1" x14ac:dyDescent="0.35">
      <c r="A74" s="12"/>
    </row>
    <row r="75" spans="1:1" x14ac:dyDescent="0.35">
      <c r="A75" s="12"/>
    </row>
    <row r="76" spans="1:1" x14ac:dyDescent="0.35">
      <c r="A76" s="12"/>
    </row>
    <row r="77" spans="1:1" x14ac:dyDescent="0.35">
      <c r="A77" s="12"/>
    </row>
    <row r="78" spans="1:1" x14ac:dyDescent="0.35">
      <c r="A78" s="12"/>
    </row>
    <row r="79" spans="1:1" x14ac:dyDescent="0.35">
      <c r="A79" s="12"/>
    </row>
    <row r="80" spans="1:1" x14ac:dyDescent="0.35">
      <c r="A80" s="12"/>
    </row>
    <row r="81" spans="1:1" x14ac:dyDescent="0.35">
      <c r="A81" s="12"/>
    </row>
    <row r="82" spans="1:1" x14ac:dyDescent="0.35">
      <c r="A82" s="12"/>
    </row>
    <row r="83" spans="1:1" x14ac:dyDescent="0.35">
      <c r="A83" s="12"/>
    </row>
    <row r="84" spans="1:1" x14ac:dyDescent="0.35">
      <c r="A84" s="12"/>
    </row>
    <row r="85" spans="1:1" x14ac:dyDescent="0.35">
      <c r="A85" s="12"/>
    </row>
    <row r="86" spans="1:1" x14ac:dyDescent="0.35">
      <c r="A86" s="12"/>
    </row>
    <row r="87" spans="1:1" x14ac:dyDescent="0.35">
      <c r="A87" s="12"/>
    </row>
    <row r="88" spans="1:1" x14ac:dyDescent="0.35">
      <c r="A88" s="12"/>
    </row>
    <row r="89" spans="1:1" x14ac:dyDescent="0.35">
      <c r="A89" s="12"/>
    </row>
    <row r="90" spans="1:1" x14ac:dyDescent="0.35">
      <c r="A90" s="12"/>
    </row>
    <row r="91" spans="1:1" x14ac:dyDescent="0.35">
      <c r="A91" s="12"/>
    </row>
    <row r="92" spans="1:1" x14ac:dyDescent="0.35">
      <c r="A92" s="12"/>
    </row>
    <row r="93" spans="1:1" ht="15" customHeight="1" x14ac:dyDescent="0.35">
      <c r="A93" s="12"/>
    </row>
    <row r="94" spans="1:1" x14ac:dyDescent="0.35">
      <c r="A94" s="12"/>
    </row>
    <row r="95" spans="1:1" x14ac:dyDescent="0.35">
      <c r="A95" s="12"/>
    </row>
    <row r="96" spans="1:1" x14ac:dyDescent="0.35">
      <c r="A96" s="12"/>
    </row>
    <row r="97" spans="1:1" x14ac:dyDescent="0.35">
      <c r="A97" s="12"/>
    </row>
    <row r="98" spans="1:1" x14ac:dyDescent="0.35">
      <c r="A98" s="12"/>
    </row>
    <row r="99" spans="1:1" x14ac:dyDescent="0.35">
      <c r="A99" s="12"/>
    </row>
    <row r="100" spans="1:1" x14ac:dyDescent="0.35">
      <c r="A100" s="12"/>
    </row>
    <row r="101" spans="1:1" x14ac:dyDescent="0.35">
      <c r="A101" s="12"/>
    </row>
    <row r="102" spans="1:1" x14ac:dyDescent="0.35">
      <c r="A102" s="12"/>
    </row>
    <row r="103" spans="1:1" x14ac:dyDescent="0.35">
      <c r="A103" s="12"/>
    </row>
    <row r="104" spans="1:1" x14ac:dyDescent="0.35">
      <c r="A104" s="12"/>
    </row>
    <row r="105" spans="1:1" x14ac:dyDescent="0.35">
      <c r="A105" s="12"/>
    </row>
    <row r="106" spans="1:1" x14ac:dyDescent="0.35">
      <c r="A106" s="12"/>
    </row>
    <row r="107" spans="1:1" x14ac:dyDescent="0.35">
      <c r="A107" s="12"/>
    </row>
    <row r="108" spans="1:1" x14ac:dyDescent="0.35">
      <c r="A108" s="12"/>
    </row>
    <row r="109" spans="1:1" x14ac:dyDescent="0.35">
      <c r="A109" s="12"/>
    </row>
    <row r="110" spans="1:1" x14ac:dyDescent="0.35">
      <c r="A110" s="12"/>
    </row>
    <row r="111" spans="1:1" x14ac:dyDescent="0.35">
      <c r="A111" s="12"/>
    </row>
    <row r="112" spans="1:1" x14ac:dyDescent="0.35">
      <c r="A112" s="12"/>
    </row>
    <row r="113" spans="1:3" x14ac:dyDescent="0.35">
      <c r="A113" s="12"/>
    </row>
    <row r="114" spans="1:3" x14ac:dyDescent="0.35">
      <c r="A114" s="12"/>
    </row>
    <row r="115" spans="1:3" x14ac:dyDescent="0.35">
      <c r="A115" s="12"/>
    </row>
    <row r="116" spans="1:3" x14ac:dyDescent="0.35">
      <c r="A116" s="12"/>
    </row>
    <row r="117" spans="1:3" x14ac:dyDescent="0.35">
      <c r="A117" s="12"/>
    </row>
    <row r="118" spans="1:3" x14ac:dyDescent="0.35">
      <c r="A118" s="12"/>
    </row>
    <row r="119" spans="1:3" x14ac:dyDescent="0.35">
      <c r="A119" s="12"/>
    </row>
    <row r="120" spans="1:3" x14ac:dyDescent="0.35">
      <c r="A120" s="12"/>
    </row>
    <row r="121" spans="1:3" x14ac:dyDescent="0.35">
      <c r="A121" s="12"/>
    </row>
    <row r="122" spans="1:3" x14ac:dyDescent="0.35">
      <c r="A122" s="12"/>
    </row>
    <row r="123" spans="1:3" x14ac:dyDescent="0.35">
      <c r="A123" s="12"/>
    </row>
    <row r="124" spans="1:3" x14ac:dyDescent="0.35">
      <c r="A124" s="12"/>
    </row>
    <row r="125" spans="1:3" x14ac:dyDescent="0.35">
      <c r="A125" s="12"/>
    </row>
    <row r="126" spans="1:3" x14ac:dyDescent="0.35">
      <c r="A126" s="12"/>
    </row>
    <row r="127" spans="1:3" x14ac:dyDescent="0.35">
      <c r="A127" s="12"/>
    </row>
    <row r="128" spans="1:3" x14ac:dyDescent="0.35">
      <c r="A128" s="12"/>
    </row>
    <row r="129" spans="1:1" x14ac:dyDescent="0.35">
      <c r="A129" s="12"/>
    </row>
    <row r="130" spans="1:1" x14ac:dyDescent="0.35">
      <c r="A130" s="12"/>
    </row>
    <row r="131" spans="1:1" x14ac:dyDescent="0.35">
      <c r="A131" s="12"/>
    </row>
    <row r="132" spans="1:1" x14ac:dyDescent="0.35">
      <c r="A132" s="12"/>
    </row>
    <row r="133" spans="1:1" x14ac:dyDescent="0.35">
      <c r="A133" s="12"/>
    </row>
    <row r="134" spans="1:1" x14ac:dyDescent="0.35">
      <c r="A134" s="12"/>
    </row>
    <row r="135" spans="1:1" x14ac:dyDescent="0.35">
      <c r="A135" s="12"/>
    </row>
    <row r="136" spans="1:1" x14ac:dyDescent="0.35">
      <c r="A136" s="12"/>
    </row>
    <row r="137" spans="1:1" x14ac:dyDescent="0.35">
      <c r="A137" s="12"/>
    </row>
  </sheetData>
  <dataConsolidate/>
  <phoneticPr fontId="2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EC67D-AB25-47A3-8056-F9FD8A1CA8FA}">
  <sheetPr codeName="Hoja1"/>
  <dimension ref="A1:G38"/>
  <sheetViews>
    <sheetView topLeftCell="A19" workbookViewId="0">
      <selection activeCell="D38" sqref="D38"/>
    </sheetView>
  </sheetViews>
  <sheetFormatPr baseColWidth="10" defaultRowHeight="14.5" x14ac:dyDescent="0.35"/>
  <cols>
    <col min="1" max="1" width="10.90625" style="1"/>
    <col min="2" max="2" width="14" style="1" bestFit="1" customWidth="1"/>
    <col min="3" max="3" width="23.453125" style="1" bestFit="1" customWidth="1"/>
    <col min="4" max="4" width="16.1796875" style="1" bestFit="1" customWidth="1"/>
    <col min="6" max="6" width="9.453125" bestFit="1" customWidth="1"/>
    <col min="7" max="7" width="10.453125" bestFit="1" customWidth="1"/>
  </cols>
  <sheetData>
    <row r="1" spans="1:7" x14ac:dyDescent="0.35">
      <c r="A1" s="2" t="s">
        <v>171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6</v>
      </c>
      <c r="B2" s="1">
        <v>1</v>
      </c>
      <c r="C2" s="1" t="s">
        <v>174</v>
      </c>
      <c r="D2" s="3" t="str">
        <f t="shared" ref="D2:D38" si="0">HYPERLINK("http://"&amp;"10."&amp;"6."&amp;VALUE(B2)&amp;".100")</f>
        <v>http://10.6.1.100</v>
      </c>
      <c r="F2" t="str">
        <f t="array" ref="F2">RIGHT(D2,10)</f>
        <v>10.6.1.100</v>
      </c>
      <c r="G2" t="str">
        <f t="array" ref="G2">IF(LEFT(F2)="1",RIGHT(D2,10),RIGHT(D2,11))</f>
        <v>10.6.1.100</v>
      </c>
    </row>
    <row r="3" spans="1:7" x14ac:dyDescent="0.35">
      <c r="A3" s="13">
        <v>6</v>
      </c>
      <c r="B3" s="1">
        <v>2</v>
      </c>
      <c r="C3" s="1" t="s">
        <v>175</v>
      </c>
      <c r="D3" s="4" t="str">
        <f t="shared" si="0"/>
        <v>http://10.6.2.100</v>
      </c>
      <c r="F3" t="str">
        <f t="array" ref="F3">RIGHT(D3,10)</f>
        <v>10.6.2.100</v>
      </c>
      <c r="G3" t="str">
        <f t="array" ref="G3">IF(LEFT(F3)="1",RIGHT(D3,10),RIGHT(D3,11))</f>
        <v>10.6.2.100</v>
      </c>
    </row>
    <row r="4" spans="1:7" x14ac:dyDescent="0.35">
      <c r="A4" s="13">
        <v>6</v>
      </c>
      <c r="B4" s="1">
        <v>3</v>
      </c>
      <c r="C4" s="1" t="s">
        <v>176</v>
      </c>
      <c r="D4" s="4" t="str">
        <f t="shared" si="0"/>
        <v>http://10.6.3.100</v>
      </c>
      <c r="F4" t="str">
        <f t="array" ref="F4">RIGHT(D4,10)</f>
        <v>10.6.3.100</v>
      </c>
      <c r="G4" t="str">
        <f t="array" ref="G4">IF(LEFT(F4)="1",RIGHT(D4,10),RIGHT(D4,11))</f>
        <v>10.6.3.100</v>
      </c>
    </row>
    <row r="5" spans="1:7" x14ac:dyDescent="0.35">
      <c r="A5" s="13">
        <v>6</v>
      </c>
      <c r="B5" s="1">
        <v>4</v>
      </c>
      <c r="C5" s="1" t="s">
        <v>177</v>
      </c>
      <c r="D5" s="4" t="str">
        <f t="shared" si="0"/>
        <v>http://10.6.4.100</v>
      </c>
      <c r="F5" t="str">
        <f t="array" ref="F5">RIGHT(D5,10)</f>
        <v>10.6.4.100</v>
      </c>
      <c r="G5" t="str">
        <f t="array" ref="G5">IF(LEFT(F5)="1",RIGHT(D5,10),RIGHT(D5,11))</f>
        <v>10.6.4.100</v>
      </c>
    </row>
    <row r="6" spans="1:7" x14ac:dyDescent="0.35">
      <c r="A6" s="13">
        <v>6</v>
      </c>
      <c r="B6" s="1">
        <v>5</v>
      </c>
      <c r="C6" s="1" t="s">
        <v>178</v>
      </c>
      <c r="D6" s="4" t="str">
        <f t="shared" si="0"/>
        <v>http://10.6.5.100</v>
      </c>
      <c r="F6" t="str">
        <f t="array" ref="F6">RIGHT(D6,10)</f>
        <v>10.6.5.100</v>
      </c>
      <c r="G6" t="str">
        <f t="array" ref="G6">IF(LEFT(F6)="1",RIGHT(D6,10),RIGHT(D6,11))</f>
        <v>10.6.5.100</v>
      </c>
    </row>
    <row r="7" spans="1:7" x14ac:dyDescent="0.35">
      <c r="A7" s="13">
        <v>6</v>
      </c>
      <c r="B7" s="1">
        <v>6</v>
      </c>
      <c r="C7" s="1" t="s">
        <v>179</v>
      </c>
      <c r="D7" s="4" t="str">
        <f t="shared" si="0"/>
        <v>http://10.6.6.100</v>
      </c>
      <c r="F7" t="str">
        <f t="array" ref="F7">RIGHT(D7,10)</f>
        <v>10.6.6.100</v>
      </c>
      <c r="G7" t="str">
        <f t="array" ref="G7">IF(LEFT(F7)="1",RIGHT(D7,10),RIGHT(D7,11))</f>
        <v>10.6.6.100</v>
      </c>
    </row>
    <row r="8" spans="1:7" x14ac:dyDescent="0.35">
      <c r="A8" s="13">
        <v>6</v>
      </c>
      <c r="B8" s="1">
        <v>7</v>
      </c>
      <c r="C8" s="1" t="s">
        <v>180</v>
      </c>
      <c r="D8" s="4" t="str">
        <f t="shared" si="0"/>
        <v>http://10.6.7.100</v>
      </c>
      <c r="F8" t="str">
        <f t="array" ref="F8">RIGHT(D8,10)</f>
        <v>10.6.7.100</v>
      </c>
      <c r="G8" t="str">
        <f t="array" ref="G8">IF(LEFT(F8)="1",RIGHT(D8,10),RIGHT(D8,11))</f>
        <v>10.6.7.100</v>
      </c>
    </row>
    <row r="9" spans="1:7" x14ac:dyDescent="0.35">
      <c r="A9" s="13">
        <v>6</v>
      </c>
      <c r="B9" s="1">
        <v>8</v>
      </c>
      <c r="C9" s="1" t="s">
        <v>231</v>
      </c>
      <c r="D9" s="4" t="str">
        <f t="shared" si="0"/>
        <v>http://10.6.8.100</v>
      </c>
      <c r="F9" t="str">
        <f t="array" ref="F9">RIGHT(D9,10)</f>
        <v>10.6.8.100</v>
      </c>
      <c r="G9" t="str">
        <f t="array" ref="G9">IF(LEFT(F9)="1",RIGHT(D9,10),RIGHT(D9,11))</f>
        <v>10.6.8.100</v>
      </c>
    </row>
    <row r="10" spans="1:7" x14ac:dyDescent="0.35">
      <c r="A10" s="13">
        <v>6</v>
      </c>
      <c r="B10" s="1">
        <v>9</v>
      </c>
      <c r="C10" s="1" t="s">
        <v>232</v>
      </c>
      <c r="D10" s="4" t="str">
        <f t="shared" si="0"/>
        <v>http://10.6.9.100</v>
      </c>
      <c r="F10" t="str">
        <f t="array" ref="F10">RIGHT(D10,10)</f>
        <v>10.6.9.100</v>
      </c>
      <c r="G10" t="str">
        <f t="array" ref="G10">IF(LEFT(F10)="1",RIGHT(D10,10),RIGHT(D10,11))</f>
        <v>10.6.9.100</v>
      </c>
    </row>
    <row r="11" spans="1:7" x14ac:dyDescent="0.35">
      <c r="A11" s="13">
        <v>6</v>
      </c>
      <c r="B11" s="1">
        <v>10</v>
      </c>
      <c r="C11" s="1" t="s">
        <v>181</v>
      </c>
      <c r="D11" s="4" t="str">
        <f t="shared" si="0"/>
        <v>http://10.6.10.100</v>
      </c>
      <c r="F11" t="str">
        <f t="array" ref="F11">RIGHT(D11,10)</f>
        <v>0.6.10.100</v>
      </c>
      <c r="G11" t="str">
        <f t="array" ref="G11">IF(LEFT(F11)="1",RIGHT(D11,10),RIGHT(D11,11))</f>
        <v>10.6.10.100</v>
      </c>
    </row>
    <row r="12" spans="1:7" x14ac:dyDescent="0.35">
      <c r="A12" s="13">
        <v>6</v>
      </c>
      <c r="B12" s="1">
        <v>11</v>
      </c>
      <c r="C12" s="1" t="s">
        <v>182</v>
      </c>
      <c r="D12" s="4" t="str">
        <f t="shared" si="0"/>
        <v>http://10.6.11.100</v>
      </c>
      <c r="F12" t="str">
        <f t="array" ref="F12">RIGHT(D12,10)</f>
        <v>0.6.11.100</v>
      </c>
      <c r="G12" t="str">
        <f t="array" ref="G12">IF(LEFT(F12)="1",RIGHT(D12,10),RIGHT(D12,11))</f>
        <v>10.6.11.100</v>
      </c>
    </row>
    <row r="13" spans="1:7" x14ac:dyDescent="0.35">
      <c r="A13" s="13">
        <v>6</v>
      </c>
      <c r="B13" s="1">
        <v>12</v>
      </c>
      <c r="C13" s="1" t="s">
        <v>183</v>
      </c>
      <c r="D13" s="4" t="str">
        <f t="shared" si="0"/>
        <v>http://10.6.12.100</v>
      </c>
      <c r="F13" t="str">
        <f t="array" ref="F13">RIGHT(D13,10)</f>
        <v>0.6.12.100</v>
      </c>
      <c r="G13" t="str">
        <f t="array" ref="G13">IF(LEFT(F13)="1",RIGHT(D13,10),RIGHT(D13,11))</f>
        <v>10.6.12.100</v>
      </c>
    </row>
    <row r="14" spans="1:7" x14ac:dyDescent="0.35">
      <c r="A14" s="13">
        <v>6</v>
      </c>
      <c r="B14" s="1">
        <v>13</v>
      </c>
      <c r="C14" s="1" t="s">
        <v>184</v>
      </c>
      <c r="D14" s="4" t="str">
        <f t="shared" si="0"/>
        <v>http://10.6.13.100</v>
      </c>
      <c r="F14" t="str">
        <f t="array" ref="F14">RIGHT(D14,10)</f>
        <v>0.6.13.100</v>
      </c>
      <c r="G14" t="str">
        <f t="array" ref="G14">IF(LEFT(F14)="1",RIGHT(D14,10),RIGHT(D14,11))</f>
        <v>10.6.13.100</v>
      </c>
    </row>
    <row r="15" spans="1:7" x14ac:dyDescent="0.35">
      <c r="A15" s="13">
        <v>6</v>
      </c>
      <c r="B15" s="1">
        <v>14</v>
      </c>
      <c r="C15" s="1" t="s">
        <v>185</v>
      </c>
      <c r="D15" s="4" t="str">
        <f t="shared" si="0"/>
        <v>http://10.6.14.100</v>
      </c>
      <c r="F15" t="str">
        <f t="array" ref="F15">RIGHT(D15,10)</f>
        <v>0.6.14.100</v>
      </c>
      <c r="G15" t="str">
        <f t="array" ref="G15">IF(LEFT(F15)="1",RIGHT(D15,10),RIGHT(D15,11))</f>
        <v>10.6.14.100</v>
      </c>
    </row>
    <row r="16" spans="1:7" x14ac:dyDescent="0.35">
      <c r="A16" s="13">
        <v>6</v>
      </c>
      <c r="B16" s="1">
        <v>15</v>
      </c>
      <c r="C16" s="1" t="s">
        <v>186</v>
      </c>
      <c r="D16" s="4" t="str">
        <f t="shared" si="0"/>
        <v>http://10.6.15.100</v>
      </c>
      <c r="F16" t="str">
        <f t="array" ref="F16">RIGHT(D16,10)</f>
        <v>0.6.15.100</v>
      </c>
      <c r="G16" t="str">
        <f t="array" ref="G16">IF(LEFT(F16)="1",RIGHT(D16,10),RIGHT(D16,11))</f>
        <v>10.6.15.100</v>
      </c>
    </row>
    <row r="17" spans="1:7" x14ac:dyDescent="0.35">
      <c r="A17" s="13">
        <v>6</v>
      </c>
      <c r="B17" s="1">
        <v>16</v>
      </c>
      <c r="C17" s="1" t="s">
        <v>126</v>
      </c>
      <c r="D17" s="4" t="str">
        <f t="shared" si="0"/>
        <v>http://10.6.16.100</v>
      </c>
      <c r="F17" t="str">
        <f t="array" ref="F17">RIGHT(D17,10)</f>
        <v>0.6.16.100</v>
      </c>
      <c r="G17" t="str">
        <f t="array" ref="G17">IF(LEFT(F17)="1",RIGHT(D17,10),RIGHT(D17,11))</f>
        <v>10.6.16.100</v>
      </c>
    </row>
    <row r="18" spans="1:7" x14ac:dyDescent="0.35">
      <c r="A18" s="13">
        <v>6</v>
      </c>
      <c r="B18" s="1">
        <v>17</v>
      </c>
      <c r="C18" s="1" t="s">
        <v>187</v>
      </c>
      <c r="D18" s="4" t="str">
        <f t="shared" si="0"/>
        <v>http://10.6.17.100</v>
      </c>
      <c r="F18" t="str">
        <f t="array" ref="F18">RIGHT(D18,10)</f>
        <v>0.6.17.100</v>
      </c>
      <c r="G18" t="str">
        <f t="array" ref="G18">IF(LEFT(F18)="1",RIGHT(D18,10),RIGHT(D18,11))</f>
        <v>10.6.17.100</v>
      </c>
    </row>
    <row r="19" spans="1:7" x14ac:dyDescent="0.35">
      <c r="A19" s="13">
        <v>6</v>
      </c>
      <c r="B19" s="1">
        <v>18</v>
      </c>
      <c r="C19" s="1" t="s">
        <v>188</v>
      </c>
      <c r="D19" s="4" t="str">
        <f t="shared" si="0"/>
        <v>http://10.6.18.100</v>
      </c>
      <c r="F19" t="str">
        <f t="array" ref="F19">RIGHT(D19,10)</f>
        <v>0.6.18.100</v>
      </c>
      <c r="G19" t="str">
        <f t="array" ref="G19">IF(LEFT(F19)="1",RIGHT(D19,10),RIGHT(D19,11))</f>
        <v>10.6.18.100</v>
      </c>
    </row>
    <row r="20" spans="1:7" x14ac:dyDescent="0.35">
      <c r="A20" s="13">
        <v>6</v>
      </c>
      <c r="B20" s="1">
        <v>19</v>
      </c>
      <c r="C20" s="1" t="s">
        <v>189</v>
      </c>
      <c r="D20" s="4" t="str">
        <f t="shared" si="0"/>
        <v>http://10.6.19.100</v>
      </c>
      <c r="F20" t="str">
        <f t="array" ref="F20">RIGHT(D20,10)</f>
        <v>0.6.19.100</v>
      </c>
      <c r="G20" t="str">
        <f t="array" ref="G20">IF(LEFT(F20)="1",RIGHT(D20,10),RIGHT(D20,11))</f>
        <v>10.6.19.100</v>
      </c>
    </row>
    <row r="21" spans="1:7" x14ac:dyDescent="0.35">
      <c r="A21" s="13">
        <v>6</v>
      </c>
      <c r="B21" s="1">
        <v>20</v>
      </c>
      <c r="C21" s="1" t="s">
        <v>190</v>
      </c>
      <c r="D21" s="4" t="str">
        <f t="shared" si="0"/>
        <v>http://10.6.20.100</v>
      </c>
      <c r="F21" t="str">
        <f t="array" ref="F21">RIGHT(D21,10)</f>
        <v>0.6.20.100</v>
      </c>
      <c r="G21" t="str">
        <f t="array" ref="G21">IF(LEFT(F21)="1",RIGHT(D21,10),RIGHT(D21,11))</f>
        <v>10.6.20.100</v>
      </c>
    </row>
    <row r="22" spans="1:7" x14ac:dyDescent="0.35">
      <c r="A22" s="13">
        <v>6</v>
      </c>
      <c r="B22" s="1">
        <v>21</v>
      </c>
      <c r="C22" s="1" t="s">
        <v>191</v>
      </c>
      <c r="D22" s="4" t="str">
        <f t="shared" si="0"/>
        <v>http://10.6.21.100</v>
      </c>
      <c r="F22" t="str">
        <f t="array" ref="F22">RIGHT(D22,10)</f>
        <v>0.6.21.100</v>
      </c>
      <c r="G22" t="str">
        <f t="array" ref="G22">IF(LEFT(F22)="1",RIGHT(D22,10),RIGHT(D22,11))</f>
        <v>10.6.21.100</v>
      </c>
    </row>
    <row r="23" spans="1:7" x14ac:dyDescent="0.35">
      <c r="A23" s="13">
        <v>6</v>
      </c>
      <c r="B23" s="1">
        <v>22</v>
      </c>
      <c r="C23" s="1" t="s">
        <v>192</v>
      </c>
      <c r="D23" s="4" t="str">
        <f t="shared" si="0"/>
        <v>http://10.6.22.100</v>
      </c>
      <c r="F23" t="str">
        <f t="array" ref="F23">RIGHT(D23,10)</f>
        <v>0.6.22.100</v>
      </c>
      <c r="G23" t="str">
        <f t="array" ref="G23">IF(LEFT(F23)="1",RIGHT(D23,10),RIGHT(D23,11))</f>
        <v>10.6.22.100</v>
      </c>
    </row>
    <row r="24" spans="1:7" x14ac:dyDescent="0.35">
      <c r="A24" s="13">
        <v>6</v>
      </c>
      <c r="B24" s="1">
        <v>23</v>
      </c>
      <c r="C24" s="1" t="s">
        <v>40</v>
      </c>
      <c r="D24" s="4" t="str">
        <f t="shared" si="0"/>
        <v>http://10.6.23.100</v>
      </c>
      <c r="F24" t="str">
        <f t="array" ref="F24">RIGHT(D24,10)</f>
        <v>0.6.23.100</v>
      </c>
      <c r="G24" t="str">
        <f t="array" ref="G24">IF(LEFT(F24)="1",RIGHT(D24,10),RIGHT(D24,11))</f>
        <v>10.6.23.100</v>
      </c>
    </row>
    <row r="25" spans="1:7" x14ac:dyDescent="0.35">
      <c r="A25" s="13">
        <v>6</v>
      </c>
      <c r="B25" s="1">
        <v>24</v>
      </c>
      <c r="C25" s="1" t="s">
        <v>193</v>
      </c>
      <c r="D25" s="4" t="str">
        <f t="shared" si="0"/>
        <v>http://10.6.24.100</v>
      </c>
      <c r="F25" t="str">
        <f t="array" ref="F25">RIGHT(D25,10)</f>
        <v>0.6.24.100</v>
      </c>
      <c r="G25" t="str">
        <f t="array" ref="G25">IF(LEFT(F25)="1",RIGHT(D25,10),RIGHT(D25,11))</f>
        <v>10.6.24.100</v>
      </c>
    </row>
    <row r="26" spans="1:7" x14ac:dyDescent="0.35">
      <c r="A26" s="13">
        <v>6</v>
      </c>
      <c r="B26" s="1">
        <v>25</v>
      </c>
      <c r="C26" s="1" t="s">
        <v>172</v>
      </c>
      <c r="D26" s="4" t="str">
        <f t="shared" si="0"/>
        <v>http://10.6.25.100</v>
      </c>
      <c r="F26" t="str">
        <f t="array" ref="F26">RIGHT(D26,10)</f>
        <v>0.6.25.100</v>
      </c>
      <c r="G26" t="str">
        <f t="array" ref="G26">IF(LEFT(F26)="1",RIGHT(D26,10),RIGHT(D26,11))</f>
        <v>10.6.25.100</v>
      </c>
    </row>
    <row r="27" spans="1:7" x14ac:dyDescent="0.35">
      <c r="A27" s="13">
        <v>6</v>
      </c>
      <c r="B27" s="1">
        <v>26</v>
      </c>
      <c r="C27" s="1" t="s">
        <v>194</v>
      </c>
      <c r="D27" s="4" t="str">
        <f t="shared" si="0"/>
        <v>http://10.6.26.100</v>
      </c>
      <c r="F27" t="str">
        <f t="array" ref="F27">RIGHT(D27,10)</f>
        <v>0.6.26.100</v>
      </c>
      <c r="G27" t="str">
        <f t="array" ref="G27">IF(LEFT(F27)="1",RIGHT(D27,10),RIGHT(D27,11))</f>
        <v>10.6.26.100</v>
      </c>
    </row>
    <row r="28" spans="1:7" x14ac:dyDescent="0.35">
      <c r="A28" s="13">
        <v>6</v>
      </c>
      <c r="B28" s="1">
        <v>27</v>
      </c>
      <c r="C28" s="1" t="s">
        <v>195</v>
      </c>
      <c r="D28" s="4" t="str">
        <f t="shared" si="0"/>
        <v>http://10.6.27.100</v>
      </c>
      <c r="F28" t="str">
        <f t="array" ref="F28">RIGHT(D28,10)</f>
        <v>0.6.27.100</v>
      </c>
      <c r="G28" t="str">
        <f t="array" ref="G28">IF(LEFT(F28)="1",RIGHT(D28,10),RIGHT(D28,11))</f>
        <v>10.6.27.100</v>
      </c>
    </row>
    <row r="29" spans="1:7" x14ac:dyDescent="0.35">
      <c r="A29" s="13">
        <v>6</v>
      </c>
      <c r="B29" s="1">
        <v>28</v>
      </c>
      <c r="C29" s="1" t="s">
        <v>196</v>
      </c>
      <c r="D29" s="4" t="str">
        <f t="shared" si="0"/>
        <v>http://10.6.28.100</v>
      </c>
      <c r="F29" t="str">
        <f t="array" ref="F29">RIGHT(D29,10)</f>
        <v>0.6.28.100</v>
      </c>
      <c r="G29" t="str">
        <f t="array" ref="G29">IF(LEFT(F29)="1",RIGHT(D29,10),RIGHT(D29,11))</f>
        <v>10.6.28.100</v>
      </c>
    </row>
    <row r="30" spans="1:7" x14ac:dyDescent="0.35">
      <c r="A30" s="13">
        <v>6</v>
      </c>
      <c r="B30" s="1">
        <v>29</v>
      </c>
      <c r="C30" s="1" t="s">
        <v>93</v>
      </c>
      <c r="D30" s="4" t="str">
        <f t="shared" si="0"/>
        <v>http://10.6.29.100</v>
      </c>
      <c r="F30" t="str">
        <f t="array" ref="F30">RIGHT(D30,10)</f>
        <v>0.6.29.100</v>
      </c>
      <c r="G30" t="str">
        <f t="array" ref="G30">IF(LEFT(F30)="1",RIGHT(D30,10),RIGHT(D30,11))</f>
        <v>10.6.29.100</v>
      </c>
    </row>
    <row r="31" spans="1:7" x14ac:dyDescent="0.35">
      <c r="A31" s="13">
        <v>6</v>
      </c>
      <c r="B31" s="1">
        <v>30</v>
      </c>
      <c r="C31" s="1" t="s">
        <v>197</v>
      </c>
      <c r="D31" s="4" t="str">
        <f t="shared" si="0"/>
        <v>http://10.6.30.100</v>
      </c>
      <c r="F31" t="str">
        <f t="array" ref="F31">RIGHT(D31,10)</f>
        <v>0.6.30.100</v>
      </c>
      <c r="G31" t="str">
        <f t="array" ref="G31">IF(LEFT(F31)="1",RIGHT(D31,10),RIGHT(D31,11))</f>
        <v>10.6.30.100</v>
      </c>
    </row>
    <row r="32" spans="1:7" x14ac:dyDescent="0.35">
      <c r="A32" s="13">
        <v>6</v>
      </c>
      <c r="B32" s="1">
        <v>31</v>
      </c>
      <c r="C32" s="1" t="s">
        <v>198</v>
      </c>
      <c r="D32" s="4" t="str">
        <f t="shared" si="0"/>
        <v>http://10.6.31.100</v>
      </c>
      <c r="F32" t="str">
        <f t="array" ref="F32">RIGHT(D32,10)</f>
        <v>0.6.31.100</v>
      </c>
      <c r="G32" t="str">
        <f t="array" ref="G32">IF(LEFT(F32)="1",RIGHT(D32,10),RIGHT(D32,11))</f>
        <v>10.6.31.100</v>
      </c>
    </row>
    <row r="33" spans="1:7" x14ac:dyDescent="0.35">
      <c r="A33" s="13">
        <v>6</v>
      </c>
      <c r="B33" s="1">
        <v>32</v>
      </c>
      <c r="C33" s="1" t="s">
        <v>199</v>
      </c>
      <c r="D33" s="4" t="str">
        <f t="shared" si="0"/>
        <v>http://10.6.32.100</v>
      </c>
      <c r="F33" t="str">
        <f t="array" ref="F33">RIGHT(D33,10)</f>
        <v>0.6.32.100</v>
      </c>
      <c r="G33" t="str">
        <f t="array" ref="G33">IF(LEFT(F33)="1",RIGHT(D33,10),RIGHT(D33,11))</f>
        <v>10.6.32.100</v>
      </c>
    </row>
    <row r="34" spans="1:7" x14ac:dyDescent="0.35">
      <c r="A34" s="13">
        <v>6</v>
      </c>
      <c r="B34" s="1">
        <v>33</v>
      </c>
      <c r="C34" s="1" t="s">
        <v>200</v>
      </c>
      <c r="D34" s="4" t="str">
        <f t="shared" si="0"/>
        <v>http://10.6.33.100</v>
      </c>
      <c r="F34" t="str">
        <f t="array" ref="F34">RIGHT(D34,10)</f>
        <v>0.6.33.100</v>
      </c>
      <c r="G34" t="str">
        <f t="array" ref="G34">IF(LEFT(F34)="1",RIGHT(D34,10),RIGHT(D34,11))</f>
        <v>10.6.33.100</v>
      </c>
    </row>
    <row r="35" spans="1:7" x14ac:dyDescent="0.35">
      <c r="A35" s="13">
        <v>6</v>
      </c>
      <c r="B35" s="1">
        <v>34</v>
      </c>
      <c r="C35" s="1" t="s">
        <v>201</v>
      </c>
      <c r="D35" s="4" t="str">
        <f t="shared" si="0"/>
        <v>http://10.6.34.100</v>
      </c>
      <c r="F35" t="str">
        <f t="array" ref="F35">RIGHT(D35,10)</f>
        <v>0.6.34.100</v>
      </c>
      <c r="G35" t="str">
        <f t="array" ref="G35">IF(LEFT(F35)="1",RIGHT(D35,10),RIGHT(D35,11))</f>
        <v>10.6.34.100</v>
      </c>
    </row>
    <row r="36" spans="1:7" x14ac:dyDescent="0.35">
      <c r="A36" s="13">
        <v>6</v>
      </c>
      <c r="B36" s="1">
        <v>35</v>
      </c>
      <c r="C36" s="1" t="s">
        <v>202</v>
      </c>
      <c r="D36" s="4" t="str">
        <f t="shared" si="0"/>
        <v>http://10.6.35.100</v>
      </c>
      <c r="F36" t="str">
        <f t="array" ref="F36">RIGHT(D36,10)</f>
        <v>0.6.35.100</v>
      </c>
      <c r="G36" t="str">
        <f t="array" ref="G36">IF(LEFT(F36)="1",RIGHT(D36,10),RIGHT(D36,11))</f>
        <v>10.6.35.100</v>
      </c>
    </row>
    <row r="37" spans="1:7" x14ac:dyDescent="0.35">
      <c r="A37" s="13">
        <v>6</v>
      </c>
      <c r="B37" s="1">
        <v>36</v>
      </c>
      <c r="C37" s="1" t="s">
        <v>203</v>
      </c>
      <c r="D37" s="4" t="str">
        <f t="shared" si="0"/>
        <v>http://10.6.36.100</v>
      </c>
      <c r="F37" t="str">
        <f t="array" ref="F37">RIGHT(D37,10)</f>
        <v>0.6.36.100</v>
      </c>
      <c r="G37" t="str">
        <f t="array" ref="G37">IF(LEFT(F37)="1",RIGHT(D37,10),RIGHT(D37,11))</f>
        <v>10.6.36.100</v>
      </c>
    </row>
    <row r="38" spans="1:7" x14ac:dyDescent="0.35">
      <c r="A38" s="13">
        <v>6</v>
      </c>
      <c r="B38" s="1">
        <v>37</v>
      </c>
      <c r="C38" s="1" t="s">
        <v>204</v>
      </c>
      <c r="D38" s="4" t="str">
        <f t="shared" si="0"/>
        <v>http://10.6.37.100</v>
      </c>
      <c r="F38" t="str">
        <f t="array" ref="F38">RIGHT(D38,10)</f>
        <v>0.6.37.100</v>
      </c>
      <c r="G38" t="str">
        <f t="array" ref="G38">IF(LEFT(F38)="1",RIGHT(D38,10),RIGHT(D38,11))</f>
        <v>10.6.37.100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D71AD-E7A0-4457-9F0D-4D5E3588B371}">
  <sheetPr codeName="Hoja2"/>
  <dimension ref="A1:G50"/>
  <sheetViews>
    <sheetView topLeftCell="A3" workbookViewId="0">
      <selection activeCell="E28" sqref="E28"/>
    </sheetView>
  </sheetViews>
  <sheetFormatPr baseColWidth="10" defaultRowHeight="14.5" x14ac:dyDescent="0.35"/>
  <cols>
    <col min="1" max="1" width="12.36328125" style="13" bestFit="1" customWidth="1"/>
    <col min="2" max="2" width="14.453125" style="1" bestFit="1" customWidth="1"/>
    <col min="3" max="3" width="21" style="1" bestFit="1" customWidth="1"/>
    <col min="4" max="4" width="16.1796875" style="1" customWidth="1"/>
  </cols>
  <sheetData>
    <row r="1" spans="1:7" x14ac:dyDescent="0.35">
      <c r="A1" s="2" t="s">
        <v>230</v>
      </c>
      <c r="B1" s="1" t="s">
        <v>0</v>
      </c>
      <c r="C1" s="1" t="s">
        <v>1</v>
      </c>
      <c r="D1" s="6" t="s">
        <v>229</v>
      </c>
    </row>
    <row r="2" spans="1:7" x14ac:dyDescent="0.35">
      <c r="A2" s="13">
        <v>7</v>
      </c>
      <c r="B2" s="1">
        <v>1</v>
      </c>
      <c r="C2" s="1" t="s">
        <v>205</v>
      </c>
      <c r="D2" s="3" t="str">
        <f t="shared" ref="D2:D28" si="0">HYPERLINK("http://"&amp;"10."&amp;"7."&amp;VALUE(B2)&amp;".100")</f>
        <v>http://10.7.1.100</v>
      </c>
      <c r="F2" t="str">
        <f t="array" ref="F2">RIGHT(D2,10)</f>
        <v>10.7.1.100</v>
      </c>
      <c r="G2" t="str">
        <f t="array" ref="G2">IF(LEFT(F2)="1",RIGHT(D2,10),RIGHT(D2,11))</f>
        <v>10.7.1.100</v>
      </c>
    </row>
    <row r="3" spans="1:7" x14ac:dyDescent="0.35">
      <c r="A3" s="13">
        <v>7</v>
      </c>
      <c r="B3" s="1">
        <v>3</v>
      </c>
      <c r="C3" s="1" t="s">
        <v>190</v>
      </c>
      <c r="D3" s="4" t="str">
        <f t="shared" si="0"/>
        <v>http://10.7.3.100</v>
      </c>
      <c r="F3" t="str">
        <f t="array" ref="F3">RIGHT(D3,10)</f>
        <v>10.7.3.100</v>
      </c>
      <c r="G3" t="str">
        <f t="array" ref="G3">IF(LEFT(F3)="1",RIGHT(D3,10),RIGHT(D3,11))</f>
        <v>10.7.3.100</v>
      </c>
    </row>
    <row r="4" spans="1:7" x14ac:dyDescent="0.35">
      <c r="A4" s="13">
        <v>7</v>
      </c>
      <c r="B4" s="1">
        <v>5</v>
      </c>
      <c r="C4" s="1" t="s">
        <v>211</v>
      </c>
      <c r="D4" s="4" t="str">
        <f t="shared" si="0"/>
        <v>http://10.7.5.100</v>
      </c>
      <c r="F4" t="str">
        <f t="array" ref="F4">RIGHT(D4,10)</f>
        <v>10.7.5.100</v>
      </c>
      <c r="G4" t="str">
        <f t="array" ref="G4">IF(LEFT(F4)="1",RIGHT(D4,10),RIGHT(D4,11))</f>
        <v>10.7.5.100</v>
      </c>
    </row>
    <row r="5" spans="1:7" x14ac:dyDescent="0.35">
      <c r="A5" s="13">
        <v>7</v>
      </c>
      <c r="B5" s="1">
        <v>6</v>
      </c>
      <c r="C5" s="1" t="s">
        <v>206</v>
      </c>
      <c r="D5" s="4" t="str">
        <f t="shared" si="0"/>
        <v>http://10.7.6.100</v>
      </c>
      <c r="F5" t="str">
        <f t="array" ref="F5">RIGHT(D5,10)</f>
        <v>10.7.6.100</v>
      </c>
      <c r="G5" t="str">
        <f t="array" ref="G5">IF(LEFT(F5)="1",RIGHT(D5,10),RIGHT(D5,11))</f>
        <v>10.7.6.100</v>
      </c>
    </row>
    <row r="6" spans="1:7" x14ac:dyDescent="0.35">
      <c r="A6" s="13">
        <v>7</v>
      </c>
      <c r="B6" s="1">
        <v>8</v>
      </c>
      <c r="C6" s="1" t="s">
        <v>212</v>
      </c>
      <c r="D6" s="4" t="str">
        <f t="shared" si="0"/>
        <v>http://10.7.8.100</v>
      </c>
      <c r="F6" t="str">
        <f t="array" ref="F6">RIGHT(D6,10)</f>
        <v>10.7.8.100</v>
      </c>
      <c r="G6" t="str">
        <f t="array" ref="G6">IF(LEFT(F6)="1",RIGHT(D6,10),RIGHT(D6,11))</f>
        <v>10.7.8.100</v>
      </c>
    </row>
    <row r="7" spans="1:7" x14ac:dyDescent="0.35">
      <c r="A7" s="13">
        <v>7</v>
      </c>
      <c r="B7" s="1">
        <v>9</v>
      </c>
      <c r="C7" s="1" t="s">
        <v>213</v>
      </c>
      <c r="D7" s="4" t="str">
        <f t="shared" si="0"/>
        <v>http://10.7.9.100</v>
      </c>
      <c r="F7" t="str">
        <f t="array" ref="F7">RIGHT(D7,10)</f>
        <v>10.7.9.100</v>
      </c>
      <c r="G7" t="str">
        <f t="array" ref="G7">IF(LEFT(F7)="1",RIGHT(D7,10),RIGHT(D7,11))</f>
        <v>10.7.9.100</v>
      </c>
    </row>
    <row r="8" spans="1:7" x14ac:dyDescent="0.35">
      <c r="A8" s="13">
        <v>7</v>
      </c>
      <c r="B8" s="1">
        <v>11</v>
      </c>
      <c r="C8" s="1" t="s">
        <v>214</v>
      </c>
      <c r="D8" s="4" t="str">
        <f t="shared" si="0"/>
        <v>http://10.7.11.100</v>
      </c>
      <c r="F8" t="str">
        <f t="array" ref="F8">RIGHT(D8,10)</f>
        <v>0.7.11.100</v>
      </c>
      <c r="G8" t="str">
        <f t="array" ref="G8">IF(LEFT(F8)="1",RIGHT(D8,10),RIGHT(D8,11))</f>
        <v>10.7.11.100</v>
      </c>
    </row>
    <row r="9" spans="1:7" x14ac:dyDescent="0.35">
      <c r="A9" s="13">
        <v>7</v>
      </c>
      <c r="B9" s="1">
        <v>12</v>
      </c>
      <c r="C9" s="1" t="s">
        <v>215</v>
      </c>
      <c r="D9" s="4" t="str">
        <f t="shared" si="0"/>
        <v>http://10.7.12.100</v>
      </c>
      <c r="F9" t="str">
        <f t="array" ref="F9">RIGHT(D9,10)</f>
        <v>0.7.12.100</v>
      </c>
      <c r="G9" t="str">
        <f t="array" ref="G9">IF(LEFT(F9)="1",RIGHT(D9,10),RIGHT(D9,11))</f>
        <v>10.7.12.100</v>
      </c>
    </row>
    <row r="10" spans="1:7" x14ac:dyDescent="0.35">
      <c r="A10" s="13">
        <v>7</v>
      </c>
      <c r="B10" s="1">
        <v>13</v>
      </c>
      <c r="C10" s="1" t="s">
        <v>216</v>
      </c>
      <c r="D10" s="4" t="str">
        <f t="shared" si="0"/>
        <v>http://10.7.13.100</v>
      </c>
      <c r="F10" t="str">
        <f t="array" ref="F10">RIGHT(D10,10)</f>
        <v>0.7.13.100</v>
      </c>
      <c r="G10" t="str">
        <f t="array" ref="G10">IF(LEFT(F10)="1",RIGHT(D10,10),RIGHT(D10,11))</f>
        <v>10.7.13.100</v>
      </c>
    </row>
    <row r="11" spans="1:7" x14ac:dyDescent="0.35">
      <c r="A11" s="13">
        <v>7</v>
      </c>
      <c r="B11" s="1">
        <v>14</v>
      </c>
      <c r="C11" s="1" t="s">
        <v>217</v>
      </c>
      <c r="D11" s="4" t="str">
        <f t="shared" si="0"/>
        <v>http://10.7.14.100</v>
      </c>
      <c r="F11" t="str">
        <f t="array" ref="F11">RIGHT(D11,10)</f>
        <v>0.7.14.100</v>
      </c>
      <c r="G11" t="str">
        <f t="array" ref="G11">IF(LEFT(F11)="1",RIGHT(D11,10),RIGHT(D11,11))</f>
        <v>10.7.14.100</v>
      </c>
    </row>
    <row r="12" spans="1:7" x14ac:dyDescent="0.35">
      <c r="A12" s="13">
        <v>7</v>
      </c>
      <c r="B12" s="1">
        <v>15</v>
      </c>
      <c r="C12" s="1" t="s">
        <v>218</v>
      </c>
      <c r="D12" s="4" t="str">
        <f t="shared" si="0"/>
        <v>http://10.7.15.100</v>
      </c>
      <c r="F12" t="str">
        <f t="array" ref="F12">RIGHT(D12,10)</f>
        <v>0.7.15.100</v>
      </c>
      <c r="G12" t="str">
        <f t="array" ref="G12">IF(LEFT(F12)="1",RIGHT(D12,10),RIGHT(D12,11))</f>
        <v>10.7.15.100</v>
      </c>
    </row>
    <row r="13" spans="1:7" x14ac:dyDescent="0.35">
      <c r="A13" s="13">
        <v>7</v>
      </c>
      <c r="B13" s="1">
        <v>16</v>
      </c>
      <c r="C13" s="1" t="s">
        <v>219</v>
      </c>
      <c r="D13" s="4" t="str">
        <f t="shared" si="0"/>
        <v>http://10.7.16.100</v>
      </c>
      <c r="F13" t="str">
        <f t="array" ref="F13">RIGHT(D13,10)</f>
        <v>0.7.16.100</v>
      </c>
      <c r="G13" t="str">
        <f t="array" ref="G13">IF(LEFT(F13)="1",RIGHT(D13,10),RIGHT(D13,11))</f>
        <v>10.7.16.100</v>
      </c>
    </row>
    <row r="14" spans="1:7" x14ac:dyDescent="0.35">
      <c r="A14" s="13">
        <v>7</v>
      </c>
      <c r="B14" s="1">
        <v>17</v>
      </c>
      <c r="C14" s="1" t="s">
        <v>221</v>
      </c>
      <c r="D14" s="4" t="str">
        <f t="shared" si="0"/>
        <v>http://10.7.17.100</v>
      </c>
      <c r="F14" t="str">
        <f t="array" ref="F14">RIGHT(D14,10)</f>
        <v>0.7.17.100</v>
      </c>
      <c r="G14" t="str">
        <f t="array" ref="G14">IF(LEFT(F14)="1",RIGHT(D14,10),RIGHT(D14,11))</f>
        <v>10.7.17.100</v>
      </c>
    </row>
    <row r="15" spans="1:7" x14ac:dyDescent="0.35">
      <c r="A15" s="13">
        <v>7</v>
      </c>
      <c r="B15" s="1">
        <v>18</v>
      </c>
      <c r="C15" s="1" t="s">
        <v>107</v>
      </c>
      <c r="D15" s="4" t="str">
        <f t="shared" si="0"/>
        <v>http://10.7.18.100</v>
      </c>
      <c r="F15" t="str">
        <f t="array" ref="F15">RIGHT(D15,10)</f>
        <v>0.7.18.100</v>
      </c>
      <c r="G15" t="str">
        <f t="array" ref="G15">IF(LEFT(F15)="1",RIGHT(D15,10),RIGHT(D15,11))</f>
        <v>10.7.18.100</v>
      </c>
    </row>
    <row r="16" spans="1:7" x14ac:dyDescent="0.35">
      <c r="A16" s="13">
        <v>7</v>
      </c>
      <c r="B16" s="1">
        <v>19</v>
      </c>
      <c r="C16" s="1" t="s">
        <v>220</v>
      </c>
      <c r="D16" s="4" t="str">
        <f t="shared" si="0"/>
        <v>http://10.7.19.100</v>
      </c>
      <c r="F16" t="str">
        <f t="array" ref="F16">RIGHT(D16,10)</f>
        <v>0.7.19.100</v>
      </c>
      <c r="G16" t="str">
        <f t="array" ref="G16">IF(LEFT(F16)="1",RIGHT(D16,10),RIGHT(D16,11))</f>
        <v>10.7.19.100</v>
      </c>
    </row>
    <row r="17" spans="1:7" x14ac:dyDescent="0.35">
      <c r="A17" s="13">
        <v>7</v>
      </c>
      <c r="B17" s="1">
        <v>20</v>
      </c>
      <c r="C17" s="1" t="s">
        <v>222</v>
      </c>
      <c r="D17" s="4" t="str">
        <f t="shared" si="0"/>
        <v>http://10.7.20.100</v>
      </c>
      <c r="F17" t="str">
        <f t="array" ref="F17">RIGHT(D17,10)</f>
        <v>0.7.20.100</v>
      </c>
      <c r="G17" t="str">
        <f t="array" ref="G17">IF(LEFT(F17)="1",RIGHT(D17,10),RIGHT(D17,11))</f>
        <v>10.7.20.100</v>
      </c>
    </row>
    <row r="18" spans="1:7" x14ac:dyDescent="0.35">
      <c r="A18" s="13">
        <v>7</v>
      </c>
      <c r="B18" s="1">
        <v>21</v>
      </c>
      <c r="C18" s="1" t="s">
        <v>223</v>
      </c>
      <c r="D18" s="4" t="str">
        <f t="shared" si="0"/>
        <v>http://10.7.21.100</v>
      </c>
      <c r="F18" t="str">
        <f t="array" ref="F18">RIGHT(D18,10)</f>
        <v>0.7.21.100</v>
      </c>
      <c r="G18" t="str">
        <f t="array" ref="G18">IF(LEFT(F18)="1",RIGHT(D18,10),RIGHT(D18,11))</f>
        <v>10.7.21.100</v>
      </c>
    </row>
    <row r="19" spans="1:7" x14ac:dyDescent="0.35">
      <c r="A19" s="13">
        <v>7</v>
      </c>
      <c r="B19" s="1">
        <v>22</v>
      </c>
      <c r="C19" s="1" t="s">
        <v>51</v>
      </c>
      <c r="D19" s="4" t="str">
        <f t="shared" si="0"/>
        <v>http://10.7.22.100</v>
      </c>
      <c r="F19" t="str">
        <f t="array" ref="F19">RIGHT(D19,10)</f>
        <v>0.7.22.100</v>
      </c>
      <c r="G19" t="str">
        <f t="array" ref="G19">IF(LEFT(F19)="1",RIGHT(D19,10),RIGHT(D19,11))</f>
        <v>10.7.22.100</v>
      </c>
    </row>
    <row r="20" spans="1:7" x14ac:dyDescent="0.35">
      <c r="A20" s="13">
        <v>7</v>
      </c>
      <c r="B20" s="1">
        <v>23</v>
      </c>
      <c r="C20" s="1" t="s">
        <v>52</v>
      </c>
      <c r="D20" s="4" t="str">
        <f t="shared" si="0"/>
        <v>http://10.7.23.100</v>
      </c>
      <c r="F20" t="str">
        <f t="array" ref="F20">RIGHT(D20,10)</f>
        <v>0.7.23.100</v>
      </c>
      <c r="G20" t="str">
        <f t="array" ref="G20">IF(LEFT(F20)="1",RIGHT(D20,10),RIGHT(D20,11))</f>
        <v>10.7.23.100</v>
      </c>
    </row>
    <row r="21" spans="1:7" x14ac:dyDescent="0.35">
      <c r="A21" s="13">
        <v>7</v>
      </c>
      <c r="B21" s="1">
        <v>24</v>
      </c>
      <c r="C21" s="1" t="s">
        <v>224</v>
      </c>
      <c r="D21" s="4" t="str">
        <f t="shared" si="0"/>
        <v>http://10.7.24.100</v>
      </c>
      <c r="F21" t="str">
        <f t="array" ref="F21">RIGHT(D21,10)</f>
        <v>0.7.24.100</v>
      </c>
      <c r="G21" t="str">
        <f t="array" ref="G21">IF(LEFT(F21)="1",RIGHT(D21,10),RIGHT(D21,11))</f>
        <v>10.7.24.100</v>
      </c>
    </row>
    <row r="22" spans="1:7" x14ac:dyDescent="0.35">
      <c r="A22" s="13">
        <v>7</v>
      </c>
      <c r="B22" s="1">
        <v>25</v>
      </c>
      <c r="C22" s="1" t="s">
        <v>225</v>
      </c>
      <c r="D22" s="4" t="str">
        <f t="shared" si="0"/>
        <v>http://10.7.25.100</v>
      </c>
      <c r="F22" t="str">
        <f t="array" ref="F22">RIGHT(D22,10)</f>
        <v>0.7.25.100</v>
      </c>
      <c r="G22" t="str">
        <f t="array" ref="G22">IF(LEFT(F22)="1",RIGHT(D22,10),RIGHT(D22,11))</f>
        <v>10.7.25.100</v>
      </c>
    </row>
    <row r="23" spans="1:7" x14ac:dyDescent="0.35">
      <c r="A23" s="13">
        <v>7</v>
      </c>
      <c r="B23" s="1">
        <v>26</v>
      </c>
      <c r="C23" s="1" t="s">
        <v>226</v>
      </c>
      <c r="D23" s="4" t="str">
        <f t="shared" si="0"/>
        <v>http://10.7.26.100</v>
      </c>
      <c r="F23" t="str">
        <f t="array" ref="F23">RIGHT(D23,10)</f>
        <v>0.7.26.100</v>
      </c>
      <c r="G23" t="str">
        <f t="array" ref="G23">IF(LEFT(F23)="1",RIGHT(D23,10),RIGHT(D23,11))</f>
        <v>10.7.26.100</v>
      </c>
    </row>
    <row r="24" spans="1:7" x14ac:dyDescent="0.35">
      <c r="A24" s="13">
        <v>7</v>
      </c>
      <c r="B24" s="1">
        <v>27</v>
      </c>
      <c r="C24" s="1" t="s">
        <v>227</v>
      </c>
      <c r="D24" s="4" t="str">
        <f t="shared" si="0"/>
        <v>http://10.7.27.100</v>
      </c>
      <c r="F24" t="str">
        <f t="array" ref="F24">RIGHT(D24,10)</f>
        <v>0.7.27.100</v>
      </c>
      <c r="G24" t="str">
        <f t="array" ref="G24">IF(LEFT(F24)="1",RIGHT(D24,10),RIGHT(D24,11))</f>
        <v>10.7.27.100</v>
      </c>
    </row>
    <row r="25" spans="1:7" x14ac:dyDescent="0.35">
      <c r="A25" s="13">
        <v>7</v>
      </c>
      <c r="B25" s="1">
        <v>28</v>
      </c>
      <c r="C25" s="1" t="s">
        <v>209</v>
      </c>
      <c r="D25" s="4" t="str">
        <f t="shared" si="0"/>
        <v>http://10.7.28.100</v>
      </c>
      <c r="F25" t="str">
        <f t="array" ref="F25">RIGHT(D25,10)</f>
        <v>0.7.28.100</v>
      </c>
      <c r="G25" t="str">
        <f t="array" ref="G25">IF(LEFT(F25)="1",RIGHT(D25,10),RIGHT(D25,11))</f>
        <v>10.7.28.100</v>
      </c>
    </row>
    <row r="26" spans="1:7" x14ac:dyDescent="0.35">
      <c r="A26" s="13">
        <v>7</v>
      </c>
      <c r="B26" s="1">
        <v>29</v>
      </c>
      <c r="C26" s="1" t="s">
        <v>210</v>
      </c>
      <c r="D26" s="4" t="str">
        <f t="shared" si="0"/>
        <v>http://10.7.29.100</v>
      </c>
      <c r="F26" t="str">
        <f t="array" ref="F26">RIGHT(D26,10)</f>
        <v>0.7.29.100</v>
      </c>
      <c r="G26" t="str">
        <f t="array" ref="G26">IF(LEFT(F26)="1",RIGHT(D26,10),RIGHT(D26,11))</f>
        <v>10.7.29.100</v>
      </c>
    </row>
    <row r="27" spans="1:7" x14ac:dyDescent="0.35">
      <c r="A27" s="13">
        <v>7</v>
      </c>
      <c r="B27" s="1">
        <v>30</v>
      </c>
      <c r="C27" s="1" t="s">
        <v>207</v>
      </c>
      <c r="D27" s="4" t="str">
        <f t="shared" si="0"/>
        <v>http://10.7.30.100</v>
      </c>
      <c r="F27" t="str">
        <f t="array" ref="F27">RIGHT(D27,10)</f>
        <v>0.7.30.100</v>
      </c>
      <c r="G27" t="str">
        <f t="array" ref="G27">IF(LEFT(F27)="1",RIGHT(D27,10),RIGHT(D27,11))</f>
        <v>10.7.30.100</v>
      </c>
    </row>
    <row r="28" spans="1:7" x14ac:dyDescent="0.35">
      <c r="A28" s="13">
        <v>7</v>
      </c>
      <c r="B28" s="1">
        <v>31</v>
      </c>
      <c r="C28" s="1" t="s">
        <v>208</v>
      </c>
      <c r="D28" s="4" t="str">
        <f t="shared" si="0"/>
        <v>http://10.7.31.100</v>
      </c>
      <c r="F28" t="str">
        <f t="array" ref="F28">RIGHT(D28,10)</f>
        <v>0.7.31.100</v>
      </c>
      <c r="G28" t="str">
        <f t="array" ref="G28">IF(LEFT(F28)="1",RIGHT(D28,10),RIGHT(D28,11))</f>
        <v>10.7.31.100</v>
      </c>
    </row>
    <row r="29" spans="1:7" x14ac:dyDescent="0.35">
      <c r="A29"/>
      <c r="B29"/>
      <c r="C29"/>
      <c r="D29"/>
    </row>
    <row r="30" spans="1:7" x14ac:dyDescent="0.35">
      <c r="A30"/>
      <c r="B30"/>
      <c r="C30"/>
      <c r="D30"/>
    </row>
    <row r="31" spans="1:7" x14ac:dyDescent="0.35">
      <c r="A31"/>
      <c r="B31"/>
      <c r="C31"/>
      <c r="D31"/>
    </row>
    <row r="32" spans="1:7" x14ac:dyDescent="0.35">
      <c r="A32"/>
      <c r="B32"/>
      <c r="C32"/>
      <c r="D32"/>
    </row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9F45F-24CA-4ADF-843C-5FCAAEADD859}">
  <sheetPr codeName="Hoja8"/>
  <dimension ref="B1:M59"/>
  <sheetViews>
    <sheetView tabSelected="1" zoomScale="74" zoomScaleNormal="60" workbookViewId="0">
      <selection activeCell="F43" sqref="F43"/>
    </sheetView>
  </sheetViews>
  <sheetFormatPr baseColWidth="10" defaultRowHeight="14.5" x14ac:dyDescent="0.35"/>
  <cols>
    <col min="2" max="2" width="7.1796875" bestFit="1" customWidth="1"/>
    <col min="3" max="3" width="7.6328125" bestFit="1" customWidth="1"/>
    <col min="4" max="4" width="28.26953125" style="20" bestFit="1" customWidth="1"/>
    <col min="5" max="5" width="16.6328125" style="20" bestFit="1" customWidth="1"/>
    <col min="6" max="6" width="17.453125" style="2" bestFit="1" customWidth="1"/>
    <col min="7" max="7" width="20.81640625" bestFit="1" customWidth="1"/>
    <col min="9" max="9" width="14.453125" customWidth="1"/>
    <col min="10" max="10" width="11.1796875" style="30" hidden="1" customWidth="1"/>
    <col min="11" max="11" width="13" style="30" hidden="1" customWidth="1"/>
    <col min="12" max="12" width="14.81640625" style="30" hidden="1" customWidth="1"/>
    <col min="13" max="13" width="54.1796875" style="30" hidden="1" customWidth="1"/>
  </cols>
  <sheetData>
    <row r="1" spans="2:13" x14ac:dyDescent="0.35">
      <c r="J1" s="26" t="s">
        <v>245</v>
      </c>
      <c r="K1" s="26" t="s">
        <v>246</v>
      </c>
      <c r="L1" s="27" t="s">
        <v>247</v>
      </c>
      <c r="M1" s="28" t="s">
        <v>248</v>
      </c>
    </row>
    <row r="2" spans="2:13" x14ac:dyDescent="0.35">
      <c r="J2" s="29" t="s">
        <v>234</v>
      </c>
      <c r="K2" s="29" t="str">
        <f t="array" ref="K2">IF($B$6="Linea_1",'L1'!G2:G49,IF($B$6="Linea_2",'L2'!G2:G38,IF($B$6="Linea_3",'L3'!G2:G39,IF($B$6="Linea_4",'L4'!G2:G5,IF($B$6="Linea_5",'L5'!G2:G52,IF($B$6="Linea_6",'L6'!G2:G38,IF($B$6="Linea_7",'L7'!G2:G28)))))))</f>
        <v>10.3.1.100</v>
      </c>
      <c r="L2" s="27" t="s">
        <v>241</v>
      </c>
      <c r="M2" s="28" t="s">
        <v>249</v>
      </c>
    </row>
    <row r="3" spans="2:13" x14ac:dyDescent="0.35">
      <c r="J3" s="29" t="s">
        <v>235</v>
      </c>
      <c r="K3" s="29" t="str">
        <f t="array" ref="K3">IF($B$6="Linea_1",'L1'!G3:G50,IF($B$6="Linea_2",'L2'!G3:G39,IF($B$6="Linea_3",'L3'!G3:G40,IF($B$6="Linea_4",'L4'!G3:G6,IF($B$6="Linea_5",'L5'!G3:G53,IF($B$6="Linea_6",'L6'!G3:G39,IF($B$6="Linea_7",'L7'!G3:G29)))))))</f>
        <v>10.3.2.100</v>
      </c>
      <c r="M3" s="31"/>
    </row>
    <row r="4" spans="2:13" x14ac:dyDescent="0.35">
      <c r="C4" t="s">
        <v>233</v>
      </c>
      <c r="J4" s="29" t="s">
        <v>236</v>
      </c>
      <c r="K4" s="29" t="str">
        <f t="array" ref="K4">IF($B$6="Linea_1",'L1'!G4:G51,IF($B$6="Linea_2",'L2'!G4:G40,IF($B$6="Linea_3",'L3'!G4:G41,IF($B$6="Linea_4",'L4'!G4:G7,IF($B$6="Linea_5",'L5'!G4:G54,IF($B$6="Linea_6",'L6'!G4:G40,IF($B$6="Linea_7",'L7'!G4:G30)))))))</f>
        <v>10.3.3.100</v>
      </c>
    </row>
    <row r="5" spans="2:13" x14ac:dyDescent="0.35">
      <c r="B5" s="40" t="s">
        <v>242</v>
      </c>
      <c r="C5" s="40"/>
      <c r="D5" s="40"/>
      <c r="E5" s="38"/>
      <c r="J5" s="29" t="s">
        <v>237</v>
      </c>
      <c r="K5" s="29" t="str">
        <f t="array" ref="K5">IF($B$6="Linea_1",'L1'!G5:G52,IF($B$6="Linea_2",'L2'!G5:G41,IF($B$6="Linea_3",'L3'!G5:G42,IF($B$6="Linea_4",'L4'!G5:G8,IF($B$6="Linea_5",'L5'!G5:G55,IF($B$6="Linea_6",'L6'!G5:G41,IF($B$6="Linea_7",'L7'!G5:G31)))))))</f>
        <v>10.3.4.100</v>
      </c>
    </row>
    <row r="6" spans="2:13" x14ac:dyDescent="0.35">
      <c r="B6" s="39" t="s">
        <v>236</v>
      </c>
      <c r="C6" s="39"/>
      <c r="D6" s="39"/>
      <c r="E6"/>
      <c r="J6" s="29" t="s">
        <v>238</v>
      </c>
      <c r="K6" s="29" t="str">
        <f t="array" ref="K6">IF($B$6="Linea_1",'L1'!G6:G53,IF($B$6="Linea_2",'L2'!G6:G42,IF($B$6="Linea_3",'L3'!G6:G43,IF($B$6="Linea_4",'L4'!G6:G9,IF($B$6="Linea_5",'L5'!G6:G56,IF($B$6="Linea_6",'L6'!G6:G42,IF($B$6="Linea_7",'L7'!G6:G32)))))))</f>
        <v>10.3.5.100</v>
      </c>
    </row>
    <row r="7" spans="2:13" x14ac:dyDescent="0.35">
      <c r="J7" s="29" t="s">
        <v>239</v>
      </c>
      <c r="K7" s="29" t="str">
        <f t="array" ref="K7">IF($B$6="Linea_1",'L1'!G7:G54,IF($B$6="Linea_2",'L2'!G7:G43,IF($B$6="Linea_3",'L3'!G7:G44,IF($B$6="Linea_4",'L4'!G7:G10,IF($B$6="Linea_5",'L5'!G7:G57,IF($B$6="Linea_6",'L6'!G7:G43,IF($B$6="Linea_7",'L7'!G7:G33)))))))</f>
        <v>10.3.6.100</v>
      </c>
    </row>
    <row r="8" spans="2:13" x14ac:dyDescent="0.35">
      <c r="B8" s="37" t="str" cm="1">
        <f t="array" aca="1" ref="B8:E46" ca="1">INDIRECT(B6)</f>
        <v>Linea</v>
      </c>
      <c r="C8" s="37" t="str">
        <f ca="1"/>
        <v>Número</v>
      </c>
      <c r="D8" s="37" t="str">
        <f ca="1"/>
        <v>Estación</v>
      </c>
      <c r="E8" s="37" t="str">
        <f ca="1"/>
        <v>IP</v>
      </c>
      <c r="F8" s="36" t="s">
        <v>251</v>
      </c>
      <c r="G8" s="32" t="s">
        <v>250</v>
      </c>
      <c r="J8" s="29" t="s">
        <v>240</v>
      </c>
      <c r="K8" s="29" t="str">
        <f t="array" ref="K8">IF($B$6="Linea_1",'L1'!G8:G55,IF($B$6="Linea_2",'L2'!G8:G44,IF($B$6="Linea_3",'L3'!G8:G45,IF($B$6="Linea_4",'L4'!G8:G11,IF($B$6="Linea_5",'L5'!G8:G58,IF($B$6="Linea_6",'L6'!G8:G44,IF($B$6="Linea_7",'L7'!G8:G34)))))))</f>
        <v>10.3.7.100</v>
      </c>
    </row>
    <row r="9" spans="2:13" x14ac:dyDescent="0.35">
      <c r="B9" s="22">
        <f ca="1"/>
        <v>3</v>
      </c>
      <c r="C9" s="22">
        <f ca="1"/>
        <v>1</v>
      </c>
      <c r="D9" s="23" t="str">
        <f ca="1"/>
        <v>Tenayuca</v>
      </c>
      <c r="E9" s="23" t="str">
        <f ca="1"/>
        <v>http://10.3.1.100</v>
      </c>
      <c r="F9" s="34" t="s">
        <v>252</v>
      </c>
      <c r="G9" s="35"/>
      <c r="K9" s="29" t="str">
        <f t="array" ref="K9">IF($B$6="Linea_1",'L1'!G9:G56,IF($B$6="Linea_2",'L2'!G9:G45,IF($B$6="Linea_3",'L3'!G9:G46,IF($B$6="Linea_4",'L4'!G9:G12,IF($B$6="Linea_5",'L5'!G9:G59,IF($B$6="Linea_6",'L6'!G9:G45,IF($B$6="Linea_7",'L7'!G9:G35)))))))</f>
        <v>10.3.8.100</v>
      </c>
    </row>
    <row r="10" spans="2:13" x14ac:dyDescent="0.35">
      <c r="B10" s="22">
        <f ca="1"/>
        <v>3</v>
      </c>
      <c r="C10" s="22">
        <f ca="1"/>
        <v>2</v>
      </c>
      <c r="D10" s="23" t="str">
        <f ca="1"/>
        <v>San José de la Escalera</v>
      </c>
      <c r="E10" s="23" t="str">
        <f ca="1"/>
        <v>http://10.3.2.100</v>
      </c>
      <c r="F10" s="33" t="s">
        <v>252</v>
      </c>
      <c r="G10" s="21"/>
      <c r="K10" s="29" t="str">
        <f t="array" ref="K10">IF($B$6="Linea_1",'L1'!G10:G57,IF($B$6="Linea_2",'L2'!G10:G46,IF($B$6="Linea_3",'L3'!G10:G47,IF($B$6="Linea_4",'L4'!G10:G13,IF($B$6="Linea_5",'L5'!G10:G60,IF($B$6="Linea_6",'L6'!G10:G46,IF($B$6="Linea_7",'L7'!G10:G36)))))))</f>
        <v>10.3.9.100</v>
      </c>
    </row>
    <row r="11" spans="2:13" x14ac:dyDescent="0.35">
      <c r="B11" s="22">
        <f ca="1"/>
        <v>3</v>
      </c>
      <c r="C11" s="22">
        <f ca="1"/>
        <v>3</v>
      </c>
      <c r="D11" s="23" t="str">
        <f ca="1"/>
        <v>Progreso Nacional</v>
      </c>
      <c r="E11" s="23" t="str">
        <f ca="1"/>
        <v>http://10.3.3.100</v>
      </c>
      <c r="F11" s="33" t="s">
        <v>252</v>
      </c>
      <c r="G11" s="21"/>
      <c r="K11" s="29" t="str">
        <f t="array" ref="K11">IF($B$6="Linea_1",'L1'!G11:G58,IF($B$6="Linea_2",'L2'!G11:G47,IF($B$6="Linea_3",'L3'!G11:G48,IF($B$6="Linea_4",'L4'!G11:G14,IF($B$6="Linea_5",'L5'!G11:G61,IF($B$6="Linea_6",'L6'!G11:G47,IF($B$6="Linea_7",'L7'!G11:G37)))))))</f>
        <v>10.3.10.100</v>
      </c>
    </row>
    <row r="12" spans="2:13" x14ac:dyDescent="0.35">
      <c r="B12" s="22">
        <f ca="1"/>
        <v>3</v>
      </c>
      <c r="C12" s="22">
        <f ca="1"/>
        <v>4</v>
      </c>
      <c r="D12" s="23" t="str">
        <f ca="1"/>
        <v>Tres Anegas</v>
      </c>
      <c r="E12" s="23" t="str">
        <f ca="1"/>
        <v>http://10.3.4.100</v>
      </c>
      <c r="F12" s="33" t="s">
        <v>252</v>
      </c>
      <c r="G12" s="21"/>
      <c r="K12" s="29" t="str">
        <f t="array" ref="K12">IF($B$6="Linea_1",'L1'!G12:G59,IF($B$6="Linea_2",'L2'!G12:G48,IF($B$6="Linea_3",'L3'!G12:G49,IF($B$6="Linea_4",'L4'!G12:G15,IF($B$6="Linea_5",'L5'!G12:G62,IF($B$6="Linea_6",'L6'!G12:G48,IF($B$6="Linea_7",'L7'!G12:G38)))))))</f>
        <v>10.3.11.100</v>
      </c>
    </row>
    <row r="13" spans="2:13" x14ac:dyDescent="0.35">
      <c r="B13" s="22">
        <f ca="1"/>
        <v>3</v>
      </c>
      <c r="C13" s="22">
        <f ca="1"/>
        <v>5</v>
      </c>
      <c r="D13" s="23" t="str">
        <f ca="1"/>
        <v>Júpiter</v>
      </c>
      <c r="E13" s="23" t="str">
        <f ca="1"/>
        <v>http://10.3.5.100</v>
      </c>
      <c r="F13" s="33" t="s">
        <v>252</v>
      </c>
      <c r="G13" s="21"/>
      <c r="K13" s="29" t="str">
        <f t="array" ref="K13">IF($B$6="Linea_1",'L1'!G13:G60,IF($B$6="Linea_2",'L2'!G13:G49,IF($B$6="Linea_3",'L3'!G13:G50,IF($B$6="Linea_4",'L4'!G13:G16,IF($B$6="Linea_5",'L5'!G13:G63,IF($B$6="Linea_6",'L6'!G13:G49,IF($B$6="Linea_7",'L7'!G13:G39)))))))</f>
        <v>10.3.12.100</v>
      </c>
    </row>
    <row r="14" spans="2:13" x14ac:dyDescent="0.35">
      <c r="B14" s="22">
        <f ca="1"/>
        <v>3</v>
      </c>
      <c r="C14" s="22">
        <f ca="1"/>
        <v>6</v>
      </c>
      <c r="D14" s="23" t="str">
        <f ca="1"/>
        <v>La Patera</v>
      </c>
      <c r="E14" s="23" t="str">
        <f ca="1"/>
        <v>http://10.3.6.100</v>
      </c>
      <c r="F14" s="33" t="s">
        <v>252</v>
      </c>
      <c r="G14" s="21"/>
      <c r="K14" s="29" t="str">
        <f t="array" ref="K14">IF($B$6="Linea_1",'L1'!G14:G61,IF($B$6="Linea_2",'L2'!G14:G50,IF($B$6="Linea_3",'L3'!G14:G51,IF($B$6="Linea_4",'L4'!G14:G17,IF($B$6="Linea_5",'L5'!G14:G64,IF($B$6="Linea_6",'L6'!G14:G50,IF($B$6="Linea_7",'L7'!G14:G40)))))))</f>
        <v>10.3.13.100</v>
      </c>
    </row>
    <row r="15" spans="2:13" x14ac:dyDescent="0.35">
      <c r="B15" s="22">
        <f ca="1"/>
        <v>3</v>
      </c>
      <c r="C15" s="22">
        <f ca="1"/>
        <v>7</v>
      </c>
      <c r="D15" s="23" t="str">
        <f ca="1"/>
        <v>Poniente 146</v>
      </c>
      <c r="E15" s="23" t="str">
        <f ca="1"/>
        <v>http://10.3.7.100</v>
      </c>
      <c r="F15" s="33" t="s">
        <v>252</v>
      </c>
      <c r="G15" s="21"/>
      <c r="K15" s="29" t="str">
        <f t="array" ref="K15">IF($B$6="Linea_1",'L1'!G15:G62,IF($B$6="Linea_2",'L2'!G15:G51,IF($B$6="Linea_3",'L3'!G15:G52,IF($B$6="Linea_4",'L4'!G15:G18,IF($B$6="Linea_5",'L5'!G15:G65,IF($B$6="Linea_6",'L6'!G15:G51,IF($B$6="Linea_7",'L7'!G15:G41)))))))</f>
        <v>10.3.14.100</v>
      </c>
    </row>
    <row r="16" spans="2:13" x14ac:dyDescent="0.35">
      <c r="B16" s="22">
        <f ca="1"/>
        <v>3</v>
      </c>
      <c r="C16" s="22">
        <f ca="1"/>
        <v>8</v>
      </c>
      <c r="D16" s="23" t="str">
        <f ca="1"/>
        <v>Montevideo</v>
      </c>
      <c r="E16" s="23" t="str">
        <f ca="1"/>
        <v>http://10.3.8.100</v>
      </c>
      <c r="F16" s="33" t="s">
        <v>252</v>
      </c>
      <c r="G16" s="21"/>
      <c r="K16" s="29" t="str">
        <f t="array" ref="K16">IF($B$6="Linea_1",'L1'!G16:G63,IF($B$6="Linea_2",'L2'!G16:G52,IF($B$6="Linea_3",'L3'!G16:G53,IF($B$6="Linea_4",'L4'!G16:G19,IF($B$6="Linea_5",'L5'!G16:G66,IF($B$6="Linea_6",'L6'!G16:G52,IF($B$6="Linea_7",'L7'!G16:G42)))))))</f>
        <v>10.3.15.100</v>
      </c>
    </row>
    <row r="17" spans="2:11" x14ac:dyDescent="0.35">
      <c r="B17" s="22">
        <f ca="1"/>
        <v>3</v>
      </c>
      <c r="C17" s="22">
        <f ca="1"/>
        <v>9</v>
      </c>
      <c r="D17" s="23" t="str">
        <f ca="1"/>
        <v>Poniente 134</v>
      </c>
      <c r="E17" s="23" t="str">
        <f ca="1"/>
        <v>http://10.3.9.100</v>
      </c>
      <c r="F17" s="33" t="s">
        <v>252</v>
      </c>
      <c r="G17" s="21"/>
      <c r="K17" s="29" t="str">
        <f t="array" ref="K17">IF($B$6="Linea_1",'L1'!G17:G64,IF($B$6="Linea_2",'L2'!G17:G53,IF($B$6="Linea_3",'L3'!G17:G54,IF($B$6="Linea_4",'L4'!G17:G20,IF($B$6="Linea_5",'L5'!G17:G67,IF($B$6="Linea_6",'L6'!G17:G53,IF($B$6="Linea_7",'L7'!G17:G43)))))))</f>
        <v>10.3.16.100</v>
      </c>
    </row>
    <row r="18" spans="2:11" x14ac:dyDescent="0.35">
      <c r="B18" s="22">
        <f ca="1"/>
        <v>3</v>
      </c>
      <c r="C18" s="22">
        <f ca="1"/>
        <v>10</v>
      </c>
      <c r="D18" s="23" t="str">
        <f ca="1"/>
        <v xml:space="preserve">Poniente 128 </v>
      </c>
      <c r="E18" s="23" t="str">
        <f ca="1"/>
        <v>http://10.3.10.100</v>
      </c>
      <c r="F18" s="33" t="s">
        <v>252</v>
      </c>
      <c r="G18" s="21"/>
      <c r="K18" s="29" t="str">
        <f t="array" ref="K18">IF($B$6="Linea_1",'L1'!G18:G65,IF($B$6="Linea_2",'L2'!G18:G54,IF($B$6="Linea_3",'L3'!G18:G55,IF($B$6="Linea_4",'L4'!G18:G21,IF($B$6="Linea_5",'L5'!G18:G68,IF($B$6="Linea_6",'L6'!G18:G54,IF($B$6="Linea_7",'L7'!G18:G44)))))))</f>
        <v>10.3.17.100</v>
      </c>
    </row>
    <row r="19" spans="2:11" x14ac:dyDescent="0.35">
      <c r="B19" s="22">
        <f ca="1"/>
        <v>3</v>
      </c>
      <c r="C19" s="22">
        <f ca="1"/>
        <v>11</v>
      </c>
      <c r="D19" s="23" t="str">
        <f ca="1"/>
        <v>Magdalena de las Salinas</v>
      </c>
      <c r="E19" s="23" t="str">
        <f ca="1"/>
        <v>http://10.3.11.100</v>
      </c>
      <c r="F19" s="33" t="s">
        <v>252</v>
      </c>
      <c r="G19" s="21"/>
      <c r="K19" s="29" t="str">
        <f t="array" ref="K19">IF($B$6="Linea_1",'L1'!G19:G66,IF($B$6="Linea_2",'L2'!G19:G55,IF($B$6="Linea_3",'L3'!G19:G56,IF($B$6="Linea_4",'L4'!G19:G22,IF($B$6="Linea_5",'L5'!G19:G69,IF($B$6="Linea_6",'L6'!G19:G55,IF($B$6="Linea_7",'L7'!G19:G45)))))))</f>
        <v>10.3.18.100</v>
      </c>
    </row>
    <row r="20" spans="2:11" x14ac:dyDescent="0.35">
      <c r="B20" s="22">
        <f ca="1"/>
        <v>3</v>
      </c>
      <c r="C20" s="22">
        <f ca="1"/>
        <v>12</v>
      </c>
      <c r="D20" s="23" t="str">
        <f ca="1"/>
        <v>Coltongo</v>
      </c>
      <c r="E20" s="23" t="str">
        <f ca="1"/>
        <v>http://10.3.12.100</v>
      </c>
      <c r="F20" s="33" t="s">
        <v>252</v>
      </c>
      <c r="G20" s="21"/>
      <c r="K20" s="29" t="str">
        <f t="array" ref="K20">IF($B$6="Linea_1",'L1'!G20:G67,IF($B$6="Linea_2",'L2'!G20:G56,IF($B$6="Linea_3",'L3'!G20:G57,IF($B$6="Linea_4",'L4'!G20:G23,IF($B$6="Linea_5",'L5'!G20:G70,IF($B$6="Linea_6",'L6'!G20:G56,IF($B$6="Linea_7",'L7'!G20:G46)))))))</f>
        <v>10.3.19.100</v>
      </c>
    </row>
    <row r="21" spans="2:11" x14ac:dyDescent="0.35">
      <c r="B21" s="22">
        <f ca="1"/>
        <v>3</v>
      </c>
      <c r="C21" s="22">
        <f ca="1"/>
        <v>13</v>
      </c>
      <c r="D21" s="23" t="str">
        <f ca="1"/>
        <v>Cuitláhuac</v>
      </c>
      <c r="E21" s="23" t="str">
        <f ca="1"/>
        <v>http://10.3.13.100</v>
      </c>
      <c r="F21" s="33" t="s">
        <v>252</v>
      </c>
      <c r="G21" s="21"/>
      <c r="K21" s="29" t="str">
        <f t="array" ref="K21">IF($B$6="Linea_1",'L1'!G21:G68,IF($B$6="Linea_2",'L2'!G21:G57,IF($B$6="Linea_3",'L3'!G21:G58,IF($B$6="Linea_4",'L4'!G21:G24,IF($B$6="Linea_5",'L5'!G21:G71,IF($B$6="Linea_6",'L6'!G21:G57,IF($B$6="Linea_7",'L7'!G21:G47)))))))</f>
        <v>10.3.20.100</v>
      </c>
    </row>
    <row r="22" spans="2:11" x14ac:dyDescent="0.35">
      <c r="B22" s="22">
        <f ca="1"/>
        <v>3</v>
      </c>
      <c r="C22" s="22">
        <f ca="1"/>
        <v>14</v>
      </c>
      <c r="D22" s="23" t="str">
        <f ca="1"/>
        <v>Héroe de Nacozari</v>
      </c>
      <c r="E22" s="23" t="str">
        <f ca="1"/>
        <v>http://10.3.14.100</v>
      </c>
      <c r="F22" s="33" t="s">
        <v>252</v>
      </c>
      <c r="G22" s="21"/>
      <c r="K22" s="29" t="str">
        <f t="array" ref="K22">IF($B$6="Linea_1",'L1'!G22:G69,IF($B$6="Linea_2",'L2'!G22:G58,IF($B$6="Linea_3",'L3'!G22:G59,IF($B$6="Linea_4",'L4'!G22:G25,IF($B$6="Linea_5",'L5'!G22:G72,IF($B$6="Linea_6",'L6'!G22:G58,IF($B$6="Linea_7",'L7'!G22:G48)))))))</f>
        <v>10.3.21.100</v>
      </c>
    </row>
    <row r="23" spans="2:11" x14ac:dyDescent="0.35">
      <c r="B23" s="22">
        <f ca="1"/>
        <v>3</v>
      </c>
      <c r="C23" s="22">
        <f ca="1"/>
        <v>15</v>
      </c>
      <c r="D23" s="23" t="str">
        <f ca="1"/>
        <v>Hospital La Raza</v>
      </c>
      <c r="E23" s="23" t="str">
        <f ca="1"/>
        <v>http://10.3.15.100</v>
      </c>
      <c r="F23" s="33" t="s">
        <v>252</v>
      </c>
      <c r="G23" s="21"/>
      <c r="K23" s="29" t="str">
        <f t="array" ref="K23">IF($B$6="Linea_1",'L1'!G23:G70,IF($B$6="Linea_2",'L2'!G23:G59,IF($B$6="Linea_3",'L3'!G23:G60,IF($B$6="Linea_4",'L4'!G23:G26,IF($B$6="Linea_5",'L5'!G23:G73,IF($B$6="Linea_6",'L6'!G23:G59,IF($B$6="Linea_7",'L7'!G23:G49)))))))</f>
        <v>10.3.22.100</v>
      </c>
    </row>
    <row r="24" spans="2:11" x14ac:dyDescent="0.35">
      <c r="B24" s="22">
        <f ca="1"/>
        <v>3</v>
      </c>
      <c r="C24" s="22">
        <f ca="1"/>
        <v>16</v>
      </c>
      <c r="D24" s="23" t="str">
        <f ca="1"/>
        <v>La Raza</v>
      </c>
      <c r="E24" s="23" t="str">
        <f ca="1"/>
        <v>http://10.3.16.100</v>
      </c>
      <c r="F24" s="33" t="s">
        <v>252</v>
      </c>
      <c r="G24" s="21"/>
      <c r="K24" s="29" t="str">
        <f t="array" ref="K24">IF($B$6="Linea_1",'L1'!G24:G71,IF($B$6="Linea_2",'L2'!G24:G60,IF($B$6="Linea_3",'L3'!G24:G61,IF($B$6="Linea_4",'L4'!G24:G27,IF($B$6="Linea_5",'L5'!G24:G74,IF($B$6="Linea_6",'L6'!G24:G60,IF($B$6="Linea_7",'L7'!G24:G50)))))))</f>
        <v>10.3.23.100</v>
      </c>
    </row>
    <row r="25" spans="2:11" x14ac:dyDescent="0.35">
      <c r="B25" s="22">
        <f ca="1"/>
        <v>3</v>
      </c>
      <c r="C25" s="22">
        <f ca="1"/>
        <v>17</v>
      </c>
      <c r="D25" s="23" t="str">
        <f ca="1"/>
        <v>Circuito</v>
      </c>
      <c r="E25" s="23" t="str">
        <f ca="1"/>
        <v>http://10.3.17.100</v>
      </c>
      <c r="F25" s="33" t="s">
        <v>252</v>
      </c>
      <c r="G25" s="21"/>
      <c r="K25" s="29" t="str">
        <f t="array" ref="K25">IF($B$6="Linea_1",'L1'!G25:G72,IF($B$6="Linea_2",'L2'!G25:G61,IF($B$6="Linea_3",'L3'!G25:G62,IF($B$6="Linea_4",'L4'!G25:G28,IF($B$6="Linea_5",'L5'!G25:G75,IF($B$6="Linea_6",'L6'!G25:G61,IF($B$6="Linea_7",'L7'!G25:G51)))))))</f>
        <v>10.3.24.100</v>
      </c>
    </row>
    <row r="26" spans="2:11" x14ac:dyDescent="0.35">
      <c r="B26" s="22">
        <f ca="1"/>
        <v>3</v>
      </c>
      <c r="C26" s="22">
        <f ca="1"/>
        <v>18</v>
      </c>
      <c r="D26" s="23" t="str">
        <f ca="1"/>
        <v>Tolnáhuac</v>
      </c>
      <c r="E26" s="23" t="str">
        <f ca="1"/>
        <v>http://10.3.18.100</v>
      </c>
      <c r="F26" s="33" t="s">
        <v>252</v>
      </c>
      <c r="G26" s="21"/>
      <c r="K26" s="29" t="str">
        <f t="array" ref="K26">IF($B$6="Linea_1",'L1'!G26:G73,IF($B$6="Linea_2",'L2'!G26:G62,IF($B$6="Linea_3",'L3'!G26:G63,IF($B$6="Linea_4",'L4'!G26:G29,IF($B$6="Linea_5",'L5'!G26:G76,IF($B$6="Linea_6",'L6'!G26:G62,IF($B$6="Linea_7",'L7'!G26:G52)))))))</f>
        <v>10.3.25.100</v>
      </c>
    </row>
    <row r="27" spans="2:11" x14ac:dyDescent="0.35">
      <c r="B27" s="22">
        <f ca="1"/>
        <v>3</v>
      </c>
      <c r="C27" s="22">
        <f ca="1"/>
        <v>19</v>
      </c>
      <c r="D27" s="23" t="str">
        <f ca="1"/>
        <v>Tlatelolco</v>
      </c>
      <c r="E27" s="23" t="str">
        <f ca="1"/>
        <v>http://10.3.19.100</v>
      </c>
      <c r="F27" s="33" t="s">
        <v>252</v>
      </c>
      <c r="G27" s="21"/>
      <c r="K27" s="29" t="str">
        <f t="array" ref="K27">IF($B$6="Linea_1",'L1'!G27:G74,IF($B$6="Linea_2",'L2'!G27:G63,IF($B$6="Linea_3",'L3'!G27:G64,IF($B$6="Linea_4",'L4'!G27:G30,IF($B$6="Linea_5",'L5'!G27:G77,IF($B$6="Linea_6",'L6'!G27:G63,IF($B$6="Linea_7",'L7'!G27:G53)))))))</f>
        <v>10.3.26.100</v>
      </c>
    </row>
    <row r="28" spans="2:11" x14ac:dyDescent="0.35">
      <c r="B28" s="22">
        <f ca="1"/>
        <v>3</v>
      </c>
      <c r="C28" s="22">
        <f ca="1"/>
        <v>20</v>
      </c>
      <c r="D28" s="23" t="str">
        <f ca="1"/>
        <v>Ricardo Flores Magón</v>
      </c>
      <c r="E28" s="23" t="str">
        <f ca="1"/>
        <v>http://10.3.20.100</v>
      </c>
      <c r="F28" s="33" t="s">
        <v>252</v>
      </c>
      <c r="G28" s="21"/>
      <c r="K28" s="29" t="str">
        <f t="array" ref="K28">IF($B$6="Linea_1",'L1'!G28:G75,IF($B$6="Linea_2",'L2'!G28:G64,IF($B$6="Linea_3",'L3'!G28:G65,IF($B$6="Linea_4",'L4'!G28:G31,IF($B$6="Linea_5",'L5'!G28:G78,IF($B$6="Linea_6",'L6'!G28:G64,IF($B$6="Linea_7",'L7'!G28:G54)))))))</f>
        <v>10.3.27.100</v>
      </c>
    </row>
    <row r="29" spans="2:11" x14ac:dyDescent="0.35">
      <c r="B29" s="22">
        <f ca="1"/>
        <v>3</v>
      </c>
      <c r="C29" s="22">
        <f ca="1"/>
        <v>21</v>
      </c>
      <c r="D29" s="23" t="str">
        <f ca="1"/>
        <v>Guerrero</v>
      </c>
      <c r="E29" s="23" t="str">
        <f ca="1"/>
        <v>http://10.3.21.100</v>
      </c>
      <c r="F29" s="33" t="s">
        <v>252</v>
      </c>
      <c r="G29" s="21"/>
      <c r="K29" s="29" t="str">
        <f t="array" ref="K29">IF($B$6="Linea_1",'L1'!G29:G76,IF($B$6="Linea_2",'L2'!G29:G65,IF($B$6="Linea_3",'L3'!G29:G66,IF($B$6="Linea_4",'L4'!G29:G32,IF($B$6="Linea_5",'L5'!G29:G79,IF($B$6="Linea_6",'L6'!G29:G65,IF($B$6="Linea_7",'L7'!G29:G55)))))))</f>
        <v>10.3.28.100</v>
      </c>
    </row>
    <row r="30" spans="2:11" x14ac:dyDescent="0.35">
      <c r="B30" s="22">
        <f ca="1"/>
        <v>3</v>
      </c>
      <c r="C30" s="22">
        <f ca="1"/>
        <v>22</v>
      </c>
      <c r="D30" s="23" t="str">
        <f ca="1"/>
        <v>Buenavista III</v>
      </c>
      <c r="E30" s="23" t="str">
        <f ca="1"/>
        <v>http://10.3.22.100</v>
      </c>
      <c r="F30" s="33" t="s">
        <v>252</v>
      </c>
      <c r="G30" s="21"/>
      <c r="K30" s="29" t="str">
        <f t="array" ref="K30">IF($B$6="Linea_1",'L1'!G30:G77,IF($B$6="Linea_2",'L2'!G30:G66,IF($B$6="Linea_3",'L3'!G30:G67,IF($B$6="Linea_4",'L4'!G30:G33,IF($B$6="Linea_5",'L5'!G30:G80,IF($B$6="Linea_6",'L6'!G30:G66,IF($B$6="Linea_7",'L7'!G30:G56)))))))</f>
        <v>10.3.29.100</v>
      </c>
    </row>
    <row r="31" spans="2:11" x14ac:dyDescent="0.35">
      <c r="B31" s="22">
        <f ca="1"/>
        <v>3</v>
      </c>
      <c r="C31" s="22">
        <f ca="1"/>
        <v>23</v>
      </c>
      <c r="D31" s="23" t="str">
        <f ca="1"/>
        <v>Mina</v>
      </c>
      <c r="E31" s="23" t="str">
        <f ca="1"/>
        <v>http://10.3.23.100</v>
      </c>
      <c r="F31" s="33" t="s">
        <v>252</v>
      </c>
      <c r="G31" s="21"/>
      <c r="K31" s="29" t="str">
        <f t="array" ref="K31">IF($B$6="Linea_1",'L1'!G31:G78,IF($B$6="Linea_2",'L2'!G31:G67,IF($B$6="Linea_3",'L3'!G31:G68,IF($B$6="Linea_4",'L4'!G31:G34,IF($B$6="Linea_5",'L5'!G31:G81,IF($B$6="Linea_6",'L6'!G31:G67,IF($B$6="Linea_7",'L7'!G31:G57)))))))</f>
        <v>10.3.30.100</v>
      </c>
    </row>
    <row r="32" spans="2:11" x14ac:dyDescent="0.35">
      <c r="B32" s="22">
        <f ca="1"/>
        <v>3</v>
      </c>
      <c r="C32" s="22">
        <f ca="1"/>
        <v>24</v>
      </c>
      <c r="D32" s="23" t="str">
        <f ca="1"/>
        <v>Hidalgo</v>
      </c>
      <c r="E32" s="23" t="str">
        <f ca="1"/>
        <v>http://10.3.24.100</v>
      </c>
      <c r="F32" s="33" t="s">
        <v>252</v>
      </c>
      <c r="G32" s="21"/>
      <c r="K32" s="29" t="str">
        <f t="array" ref="K32">IF($B$6="Linea_1",'L1'!G32:G79,IF($B$6="Linea_2",'L2'!G32:G68,IF($B$6="Linea_3",'L3'!G32:G69,IF($B$6="Linea_4",'L4'!G32:G35,IF($B$6="Linea_5",'L5'!G32:G82,IF($B$6="Linea_6",'L6'!G32:G68,IF($B$6="Linea_7",'L7'!G32:G58)))))))</f>
        <v>10.3.31.100</v>
      </c>
    </row>
    <row r="33" spans="2:11" x14ac:dyDescent="0.35">
      <c r="B33" s="22">
        <f ca="1"/>
        <v>3</v>
      </c>
      <c r="C33" s="22">
        <f ca="1"/>
        <v>25</v>
      </c>
      <c r="D33" s="23" t="str">
        <f ca="1"/>
        <v>Juarez</v>
      </c>
      <c r="E33" s="23" t="str">
        <f ca="1"/>
        <v>http://10.3.25.100</v>
      </c>
      <c r="F33" s="33" t="s">
        <v>252</v>
      </c>
      <c r="G33" s="21"/>
      <c r="K33" s="29" t="str">
        <f t="array" ref="K33">IF($B$6="Linea_1",'L1'!G33:G80,IF($B$6="Linea_2",'L2'!G33:G69,IF($B$6="Linea_3",'L3'!G33:G70,IF($B$6="Linea_4",'L4'!G33:G36,IF($B$6="Linea_5",'L5'!G33:G83,IF($B$6="Linea_6",'L6'!G33:G69,IF($B$6="Linea_7",'L7'!G33:G59)))))))</f>
        <v>10.3.32.100</v>
      </c>
    </row>
    <row r="34" spans="2:11" x14ac:dyDescent="0.35">
      <c r="B34" s="22">
        <f ca="1"/>
        <v>3</v>
      </c>
      <c r="C34" s="22">
        <f ca="1"/>
        <v>26</v>
      </c>
      <c r="D34" s="23" t="str">
        <f ca="1"/>
        <v>Balderas</v>
      </c>
      <c r="E34" s="23" t="str">
        <f ca="1"/>
        <v>http://10.3.26.100</v>
      </c>
      <c r="F34" s="33" t="s">
        <v>252</v>
      </c>
      <c r="G34" s="21"/>
      <c r="K34" s="29" t="str">
        <f t="array" ref="K34">IF($B$6="Linea_1",'L1'!G34:G81,IF($B$6="Linea_2",'L2'!G34:G70,IF($B$6="Linea_3",'L3'!G34:G71,IF($B$6="Linea_4",'L4'!G34:G37,IF($B$6="Linea_5",'L5'!G34:G84,IF($B$6="Linea_6",'L6'!G34:G70,IF($B$6="Linea_7",'L7'!G34:G60)))))))</f>
        <v>10.3.33.100</v>
      </c>
    </row>
    <row r="35" spans="2:11" x14ac:dyDescent="0.35">
      <c r="B35" s="22">
        <f ca="1"/>
        <v>3</v>
      </c>
      <c r="C35" s="22">
        <f ca="1"/>
        <v>27</v>
      </c>
      <c r="D35" s="23" t="str">
        <f ca="1"/>
        <v>Cuauhtémoc</v>
      </c>
      <c r="E35" s="23" t="str">
        <f ca="1"/>
        <v>http://10.3.27.100</v>
      </c>
      <c r="F35" s="33" t="s">
        <v>252</v>
      </c>
      <c r="G35" s="21"/>
      <c r="K35" s="29" t="str">
        <f t="array" ref="K35">IF($B$6="Linea_1",'L1'!G35:G82,IF($B$6="Linea_2",'L2'!G35:G71,IF($B$6="Linea_3",'L3'!G35:G72,IF($B$6="Linea_4",'L4'!G35:G38,IF($B$6="Linea_5",'L5'!G35:G85,IF($B$6="Linea_6",'L6'!G35:G71,IF($B$6="Linea_7",'L7'!G35:G61)))))))</f>
        <v>10.3.34.100</v>
      </c>
    </row>
    <row r="36" spans="2:11" x14ac:dyDescent="0.35">
      <c r="B36" s="22">
        <f ca="1"/>
        <v>3</v>
      </c>
      <c r="C36" s="22">
        <f ca="1"/>
        <v>28</v>
      </c>
      <c r="D36" s="23" t="str">
        <f ca="1"/>
        <v>Jardín Pushkin</v>
      </c>
      <c r="E36" s="23" t="str">
        <f ca="1"/>
        <v>http://10.3.28.100</v>
      </c>
      <c r="F36" s="33" t="s">
        <v>252</v>
      </c>
      <c r="G36" s="21"/>
      <c r="K36" s="29" t="str">
        <f t="array" ref="K36">IF($B$6="Linea_1",'L1'!G36:G83,IF($B$6="Linea_2",'L2'!G36:G72,IF($B$6="Linea_3",'L3'!G36:G73,IF($B$6="Linea_4",'L4'!G36:G39,IF($B$6="Linea_5",'L5'!G36:G86,IF($B$6="Linea_6",'L6'!G36:G72,IF($B$6="Linea_7",'L7'!G36:G62)))))))</f>
        <v>10.3.35.100</v>
      </c>
    </row>
    <row r="37" spans="2:11" x14ac:dyDescent="0.35">
      <c r="B37" s="22">
        <f ca="1"/>
        <v>3</v>
      </c>
      <c r="C37" s="22">
        <f ca="1"/>
        <v>29</v>
      </c>
      <c r="D37" s="23" t="str">
        <f ca="1"/>
        <v xml:space="preserve">Hospital General </v>
      </c>
      <c r="E37" s="23" t="str">
        <f ca="1"/>
        <v>http://10.3.29.100</v>
      </c>
      <c r="F37" s="33" t="s">
        <v>252</v>
      </c>
      <c r="G37" s="21"/>
      <c r="K37" s="29" t="str">
        <f t="array" ref="K37">IF($B$6="Linea_1",'L1'!G37:G84,IF($B$6="Linea_2",'L2'!G37:G73,IF($B$6="Linea_3",'L3'!G37:G74,IF($B$6="Linea_4",'L4'!G37:G40,IF($B$6="Linea_5",'L5'!G37:G87,IF($B$6="Linea_6",'L6'!G37:G73,IF($B$6="Linea_7",'L7'!G37:G63)))))))</f>
        <v>10.3.36.100</v>
      </c>
    </row>
    <row r="38" spans="2:11" x14ac:dyDescent="0.35">
      <c r="B38" s="22">
        <f ca="1"/>
        <v>3</v>
      </c>
      <c r="C38" s="22">
        <f ca="1"/>
        <v>30</v>
      </c>
      <c r="D38" s="23" t="str">
        <f ca="1"/>
        <v>Doctor Márquez</v>
      </c>
      <c r="E38" s="23" t="str">
        <f ca="1"/>
        <v>http://10.3.30.100</v>
      </c>
      <c r="F38" s="33" t="s">
        <v>252</v>
      </c>
      <c r="G38" s="21"/>
      <c r="K38" s="29" t="str">
        <f t="array" ref="K38">IF($B$6="Linea_1",'L1'!G38:G85,IF($B$6="Linea_2",'L2'!G38:G74,IF($B$6="Linea_3",'L3'!G38:G75,IF($B$6="Linea_4",'L4'!G38:G41,IF($B$6="Linea_5",'L5'!G38:G88,IF($B$6="Linea_6",'L6'!G38:G74,IF($B$6="Linea_7",'L7'!G38:G64)))))))</f>
        <v>10.3.37.100</v>
      </c>
    </row>
    <row r="39" spans="2:11" x14ac:dyDescent="0.35">
      <c r="B39" s="22">
        <f ca="1"/>
        <v>3</v>
      </c>
      <c r="C39" s="22">
        <f ca="1"/>
        <v>31</v>
      </c>
      <c r="D39" s="23" t="str">
        <f ca="1"/>
        <v>Centro Médico</v>
      </c>
      <c r="E39" s="23" t="str">
        <f ca="1"/>
        <v>http://10.3.31.100</v>
      </c>
      <c r="F39" s="33" t="s">
        <v>252</v>
      </c>
      <c r="G39" s="21"/>
      <c r="K39" s="29" t="str">
        <f t="array" ref="K39">IF($B$6="Linea_1",'L1'!G39:G86,IF($B$6="Linea_2",'L2'!G39:G75,IF($B$6="Linea_3",'L3'!G39:G76,IF($B$6="Linea_4",'L4'!G39:G42,IF($B$6="Linea_5",'L5'!G39:G89,IF($B$6="Linea_6",'L6'!G39:G75,IF($B$6="Linea_7",'L7'!G39:G65)))))))</f>
        <v>10.3.38.100</v>
      </c>
    </row>
    <row r="40" spans="2:11" x14ac:dyDescent="0.35">
      <c r="B40" s="22">
        <f ca="1"/>
        <v>3</v>
      </c>
      <c r="C40" s="22">
        <f ca="1"/>
        <v>32</v>
      </c>
      <c r="D40" s="23" t="str">
        <f ca="1"/>
        <v>Obrero Mundial</v>
      </c>
      <c r="E40" s="23" t="str">
        <f ca="1"/>
        <v>http://10.3.32.100</v>
      </c>
      <c r="F40" s="33" t="s">
        <v>252</v>
      </c>
      <c r="G40" s="21"/>
      <c r="K40" s="29">
        <f t="array" ref="K40">IF($B$6="Linea_1",'L1'!G40:G87,IF($B$6="Linea_2",'L2'!G40:G76,IF($B$6="Linea_3",'L3'!G40:G77,IF($B$6="Linea_4",'L4'!G40:G43,IF($B$6="Linea_5",'L5'!G40:G90,IF($B$6="Linea_6",'L6'!G40:G76,IF($B$6="Linea_7",'L7'!G40:G66)))))))</f>
        <v>0</v>
      </c>
    </row>
    <row r="41" spans="2:11" x14ac:dyDescent="0.35">
      <c r="B41" s="22">
        <f ca="1"/>
        <v>3</v>
      </c>
      <c r="C41" s="22">
        <f ca="1"/>
        <v>33</v>
      </c>
      <c r="D41" s="23" t="str">
        <f ca="1"/>
        <v>Etiopía</v>
      </c>
      <c r="E41" s="23" t="str">
        <f ca="1"/>
        <v>http://10.3.33.100</v>
      </c>
      <c r="F41" s="33" t="s">
        <v>252</v>
      </c>
      <c r="G41" s="21"/>
      <c r="K41" s="29">
        <f t="array" ref="K41">IF($B$6="Linea_1",'L1'!G41:G88,IF($B$6="Linea_2",'L2'!G41:G77,IF($B$6="Linea_3",'L3'!G41:G78,IF($B$6="Linea_4",'L4'!G41:G44,IF($B$6="Linea_5",'L5'!G41:G91,IF($B$6="Linea_6",'L6'!G41:G77,IF($B$6="Linea_7",'L7'!G41:G67)))))))</f>
        <v>0</v>
      </c>
    </row>
    <row r="42" spans="2:11" x14ac:dyDescent="0.35">
      <c r="B42" s="22">
        <f ca="1"/>
        <v>3</v>
      </c>
      <c r="C42" s="22">
        <f ca="1"/>
        <v>34</v>
      </c>
      <c r="D42" s="23" t="str">
        <f ca="1"/>
        <v>Luz Saviñon</v>
      </c>
      <c r="E42" s="23" t="str">
        <f ca="1"/>
        <v>http://10.3.34.100</v>
      </c>
      <c r="F42" s="33" t="s">
        <v>252</v>
      </c>
      <c r="G42" s="21"/>
      <c r="K42" s="29">
        <f t="array" ref="K42">IF($B$6="Linea_1",'L1'!G42:G89,IF($B$6="Linea_2",'L2'!G42:G78,IF($B$6="Linea_3",'L3'!G42:G79,IF($B$6="Linea_4",'L4'!G42:G45,IF($B$6="Linea_5",'L5'!G42:G92,IF($B$6="Linea_6",'L6'!G42:G78,IF($B$6="Linea_7",'L7'!G42:G68)))))))</f>
        <v>0</v>
      </c>
    </row>
    <row r="43" spans="2:11" x14ac:dyDescent="0.35">
      <c r="B43" s="22">
        <f ca="1"/>
        <v>3</v>
      </c>
      <c r="C43" s="22">
        <f ca="1"/>
        <v>35</v>
      </c>
      <c r="D43" s="23" t="str">
        <f ca="1"/>
        <v>Eugenia</v>
      </c>
      <c r="E43" s="23" t="str">
        <f ca="1"/>
        <v>http://10.3.35.100</v>
      </c>
      <c r="F43" s="33" t="s">
        <v>252</v>
      </c>
      <c r="G43" s="21"/>
      <c r="K43" s="29">
        <f t="array" ref="K43">IF($B$6="Linea_1",'L1'!G43:G90,IF($B$6="Linea_2",'L2'!G43:G79,IF($B$6="Linea_3",'L3'!G43:G80,IF($B$6="Linea_4",'L4'!G43:G46,IF($B$6="Linea_5",'L5'!G43:G93,IF($B$6="Linea_6",'L6'!G43:G79,IF($B$6="Linea_7",'L7'!G43:G69)))))))</f>
        <v>0</v>
      </c>
    </row>
    <row r="44" spans="2:11" x14ac:dyDescent="0.35">
      <c r="B44" s="22">
        <f ca="1"/>
        <v>3</v>
      </c>
      <c r="C44" s="22">
        <f ca="1"/>
        <v>36</v>
      </c>
      <c r="D44" s="23" t="str">
        <f ca="1"/>
        <v>Division del Norte</v>
      </c>
      <c r="E44" s="23" t="str">
        <f ca="1"/>
        <v>http://10.3.36.100</v>
      </c>
      <c r="F44" s="33" t="s">
        <v>252</v>
      </c>
      <c r="G44" s="21"/>
      <c r="K44" s="29">
        <f t="array" ref="K44">IF($B$6="Linea_1",'L1'!G44:G91,IF($B$6="Linea_2",'L2'!G44:G80,IF($B$6="Linea_3",'L3'!G44:G81,IF($B$6="Linea_4",'L4'!G44:G47,IF($B$6="Linea_5",'L5'!G44:G94,IF($B$6="Linea_6",'L6'!G44:G80,IF($B$6="Linea_7",'L7'!G44:G70)))))))</f>
        <v>0</v>
      </c>
    </row>
    <row r="45" spans="2:11" x14ac:dyDescent="0.35">
      <c r="B45" s="22">
        <f ca="1"/>
        <v>3</v>
      </c>
      <c r="C45" s="22">
        <f ca="1"/>
        <v>37</v>
      </c>
      <c r="D45" s="23" t="str">
        <f ca="1"/>
        <v>Miguel Laurent</v>
      </c>
      <c r="E45" s="23" t="str">
        <f ca="1"/>
        <v>http://10.3.37.100</v>
      </c>
      <c r="F45" s="33" t="s">
        <v>252</v>
      </c>
      <c r="G45" s="21"/>
      <c r="K45" s="29">
        <f t="array" ref="K45">IF($B$6="Linea_1",'L1'!G45:G92,IF($B$6="Linea_2",'L2'!G45:G81,IF($B$6="Linea_3",'L3'!G45:G82,IF($B$6="Linea_4",'L4'!G45:G48,IF($B$6="Linea_5",'L5'!G45:G95,IF($B$6="Linea_6",'L6'!G45:G81,IF($B$6="Linea_7",'L7'!G45:G71)))))))</f>
        <v>0</v>
      </c>
    </row>
    <row r="46" spans="2:11" x14ac:dyDescent="0.35">
      <c r="B46" s="22">
        <f ca="1"/>
        <v>3</v>
      </c>
      <c r="C46" s="22">
        <f ca="1"/>
        <v>38</v>
      </c>
      <c r="D46" s="23" t="str">
        <f ca="1"/>
        <v>Pueblo Sta. Cruz Atoyac</v>
      </c>
      <c r="E46" s="23" t="str">
        <f ca="1"/>
        <v>http://10.3.38.100</v>
      </c>
      <c r="F46" s="33" t="s">
        <v>252</v>
      </c>
      <c r="G46" s="21"/>
      <c r="K46" s="29">
        <f t="array" ref="K46">IF($B$6="Linea_1",'L1'!G46:G93,IF($B$6="Linea_2",'L2'!G46:G82,IF($B$6="Linea_3",'L3'!G46:G83,IF($B$6="Linea_4",'L4'!G46:G49,IF($B$6="Linea_5",'L5'!G46:G96,IF($B$6="Linea_6",'L6'!G46:G82,IF($B$6="Linea_7",'L7'!G46:G72)))))))</f>
        <v>0</v>
      </c>
    </row>
    <row r="47" spans="2:11" x14ac:dyDescent="0.35">
      <c r="B47" s="22"/>
      <c r="C47" s="22"/>
      <c r="D47" s="23"/>
      <c r="E47" s="23"/>
      <c r="F47" s="33"/>
      <c r="G47" s="21"/>
      <c r="K47" s="29">
        <f t="array" ref="K47">IF($B$6="Linea_1",'L1'!G47:G94,IF($B$6="Linea_2",'L2'!G47:G83,IF($B$6="Linea_3",'L3'!G47:G84,IF($B$6="Linea_4",'L4'!G47:G50,IF($B$6="Linea_5",'L5'!G47:G97,IF($B$6="Linea_6",'L6'!G47:G83,IF($B$6="Linea_7",'L7'!G47:G73)))))))</f>
        <v>0</v>
      </c>
    </row>
    <row r="48" spans="2:11" x14ac:dyDescent="0.35">
      <c r="B48" s="22"/>
      <c r="C48" s="22"/>
      <c r="D48" s="23"/>
      <c r="E48" s="23"/>
      <c r="F48" s="33"/>
      <c r="G48" s="21"/>
      <c r="K48" s="29">
        <f t="array" ref="K48">IF($B$6="Linea_1",'L1'!G48:G95,IF($B$6="Linea_2",'L2'!G48:G84,IF($B$6="Linea_3",'L3'!G48:G85,IF($B$6="Linea_4",'L4'!G48:G51,IF($B$6="Linea_5",'L5'!G48:G98,IF($B$6="Linea_6",'L6'!G48:G84,IF($B$6="Linea_7",'L7'!G48:G74)))))))</f>
        <v>0</v>
      </c>
    </row>
    <row r="49" spans="2:11" x14ac:dyDescent="0.35">
      <c r="B49" s="22"/>
      <c r="C49" s="22"/>
      <c r="D49" s="23"/>
      <c r="E49" s="23"/>
      <c r="F49" s="33"/>
      <c r="G49" s="21"/>
      <c r="K49" s="29">
        <f t="array" ref="K49">IF($B$6="Linea_1",'L1'!G49:G96,IF($B$6="Linea_2",'L2'!G49:G85,IF($B$6="Linea_3",'L3'!G49:G86,IF($B$6="Linea_4",'L4'!G49:G52,IF($B$6="Linea_5",'L5'!G49:G99,IF($B$6="Linea_6",'L6'!G49:G85,IF($B$6="Linea_7",'L7'!G49:G75)))))))</f>
        <v>0</v>
      </c>
    </row>
    <row r="50" spans="2:11" x14ac:dyDescent="0.35">
      <c r="B50" s="22"/>
      <c r="C50" s="22"/>
      <c r="D50" s="23"/>
      <c r="E50" s="23"/>
      <c r="F50" s="33"/>
      <c r="G50" s="21"/>
      <c r="K50" s="29">
        <f t="array" ref="K50">IF($B$6="Linea_1",'L1'!G50:G97,IF($B$6="Linea_2",'L2'!G50:G86,IF($B$6="Linea_3",'L3'!G50:G87,IF($B$6="Linea_4",'L4'!G50:G53,IF($B$6="Linea_5",'L5'!G50:G100,IF($B$6="Linea_6",'L6'!G50:G86,IF($B$6="Linea_7",'L7'!G50:G76)))))))</f>
        <v>0</v>
      </c>
    </row>
    <row r="51" spans="2:11" x14ac:dyDescent="0.35">
      <c r="B51" s="22"/>
      <c r="C51" s="22"/>
      <c r="D51" s="23"/>
      <c r="E51" s="23"/>
      <c r="F51" s="33" t="s">
        <v>253</v>
      </c>
      <c r="G51" s="21"/>
      <c r="K51" s="29">
        <f t="array" ref="K51">IF($B$6="Linea_1",'L1'!G51:G98,IF($B$6="Linea_2",'L2'!G51:G87,IF($B$6="Linea_3",'L3'!G51:G88,IF($B$6="Linea_4",'L4'!G51:G54,IF($B$6="Linea_5",'L5'!G51:G101,IF($B$6="Linea_6",'L6'!G51:G87,IF($B$6="Linea_7",'L7'!G51:G77)))))))</f>
        <v>0</v>
      </c>
    </row>
    <row r="52" spans="2:11" x14ac:dyDescent="0.35">
      <c r="B52" s="22"/>
      <c r="C52" s="22"/>
      <c r="D52" s="23"/>
      <c r="E52" s="23"/>
      <c r="F52" s="33" t="s">
        <v>253</v>
      </c>
      <c r="G52" s="21"/>
      <c r="K52" s="29">
        <f t="array" ref="K52">IF($B$6="Linea_1",'L1'!G52:G99,IF($B$6="Linea_2",'L2'!G52:G88,IF($B$6="Linea_3",'L3'!G52:G89,IF($B$6="Linea_4",'L4'!G52:G55,IF($B$6="Linea_5",'L5'!G52:G102,IF($B$6="Linea_6",'L6'!G52:G88,IF($B$6="Linea_7",'L7'!G52:G78)))))))</f>
        <v>0</v>
      </c>
    </row>
    <row r="53" spans="2:11" x14ac:dyDescent="0.35">
      <c r="B53" s="22"/>
      <c r="C53" s="22"/>
      <c r="D53" s="23"/>
      <c r="E53" s="23"/>
      <c r="F53" s="33"/>
      <c r="G53" s="21"/>
    </row>
    <row r="54" spans="2:11" x14ac:dyDescent="0.35">
      <c r="B54" s="22"/>
      <c r="C54" s="22"/>
      <c r="D54" s="23"/>
      <c r="E54" s="23"/>
      <c r="F54" s="33"/>
      <c r="G54" s="21"/>
    </row>
    <row r="55" spans="2:11" x14ac:dyDescent="0.35">
      <c r="B55" s="22"/>
      <c r="C55" s="22"/>
      <c r="D55" s="23"/>
      <c r="E55" s="23"/>
      <c r="F55" s="33"/>
      <c r="G55" s="21"/>
    </row>
    <row r="56" spans="2:11" x14ac:dyDescent="0.35">
      <c r="B56" s="22"/>
      <c r="C56" s="22"/>
      <c r="D56" s="23"/>
      <c r="E56" s="23"/>
      <c r="F56" s="33"/>
      <c r="G56" s="21"/>
    </row>
    <row r="57" spans="2:11" x14ac:dyDescent="0.35">
      <c r="B57" s="22"/>
      <c r="C57" s="22"/>
      <c r="D57" s="23"/>
      <c r="E57" s="23"/>
      <c r="F57" s="33"/>
      <c r="G57" s="21"/>
    </row>
    <row r="58" spans="2:11" x14ac:dyDescent="0.35">
      <c r="B58" s="22"/>
      <c r="C58" s="22"/>
      <c r="D58" s="23"/>
      <c r="E58" s="23"/>
      <c r="F58" s="33"/>
      <c r="G58" s="21"/>
    </row>
    <row r="59" spans="2:11" x14ac:dyDescent="0.35">
      <c r="B59" s="22"/>
      <c r="C59" s="22"/>
      <c r="D59" s="23"/>
      <c r="E59" s="23"/>
      <c r="F59" s="33"/>
      <c r="G59" s="21"/>
    </row>
  </sheetData>
  <mergeCells count="2">
    <mergeCell ref="B6:D6"/>
    <mergeCell ref="B5:D5"/>
  </mergeCells>
  <phoneticPr fontId="2" type="noConversion"/>
  <conditionalFormatting sqref="F9">
    <cfRule type="expression" dxfId="4" priority="5">
      <formula>"Desconectado"</formula>
    </cfRule>
  </conditionalFormatting>
  <conditionalFormatting sqref="F9:F59">
    <cfRule type="cellIs" dxfId="3" priority="1" operator="equal">
      <formula>"INESTABLE"</formula>
    </cfRule>
    <cfRule type="cellIs" dxfId="2" priority="2" operator="equal">
      <formula>"ESTABLE"</formula>
    </cfRule>
    <cfRule type="cellIs" dxfId="1" priority="3" operator="equal">
      <formula>"Conectado"</formula>
    </cfRule>
    <cfRule type="cellIs" dxfId="0" priority="4" operator="equal">
      <formula>"Desconectado"</formula>
    </cfRule>
  </conditionalFormatting>
  <dataValidations count="1">
    <dataValidation type="list" allowBlank="1" showInputMessage="1" showErrorMessage="1" sqref="B6" xr:uid="{1BE4CD0C-89FE-451B-B21B-95E0713A8A70}">
      <formula1>MB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7" r:id="rId3" name="Button 5">
              <controlPr defaultSize="0" print="0" autoFill="0" autoPict="0" macro="[0]!generarTXT">
                <anchor moveWithCells="1" sizeWithCells="1">
                  <from>
                    <xdr:col>4</xdr:col>
                    <xdr:colOff>158750</xdr:colOff>
                    <xdr:row>3</xdr:row>
                    <xdr:rowOff>133350</xdr:rowOff>
                  </from>
                  <to>
                    <xdr:col>5</xdr:col>
                    <xdr:colOff>457200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4" name="Button 8">
              <controlPr defaultSize="0" print="0" autoFill="0" autoPict="0" macro="[0]!macro_timer">
                <anchor moveWithCells="1" sizeWithCells="1">
                  <from>
                    <xdr:col>6</xdr:col>
                    <xdr:colOff>279400</xdr:colOff>
                    <xdr:row>3</xdr:row>
                    <xdr:rowOff>139700</xdr:rowOff>
                  </from>
                  <to>
                    <xdr:col>6</xdr:col>
                    <xdr:colOff>742950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Button 9">
              <controlPr defaultSize="0" print="0" autoFill="0" autoPict="0" macro="[0]!stop_macro">
                <anchor moveWithCells="1" sizeWithCells="1">
                  <from>
                    <xdr:col>6</xdr:col>
                    <xdr:colOff>806450</xdr:colOff>
                    <xdr:row>3</xdr:row>
                    <xdr:rowOff>139700</xdr:rowOff>
                  </from>
                  <to>
                    <xdr:col>6</xdr:col>
                    <xdr:colOff>1270000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Button 10">
              <controlPr defaultSize="0" print="0" autoFill="0" autoPict="0" macro="[0]!RunPython">
                <anchor moveWithCells="1" sizeWithCells="1">
                  <from>
                    <xdr:col>5</xdr:col>
                    <xdr:colOff>533400</xdr:colOff>
                    <xdr:row>3</xdr:row>
                    <xdr:rowOff>127000</xdr:rowOff>
                  </from>
                  <to>
                    <xdr:col>6</xdr:col>
                    <xdr:colOff>222250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8</vt:i4>
      </vt:variant>
    </vt:vector>
  </HeadingPairs>
  <TitlesOfParts>
    <vt:vector size="16" baseType="lpstr">
      <vt:lpstr>L1</vt:lpstr>
      <vt:lpstr>L2</vt:lpstr>
      <vt:lpstr>L3</vt:lpstr>
      <vt:lpstr>L4</vt:lpstr>
      <vt:lpstr>L5</vt:lpstr>
      <vt:lpstr>L6</vt:lpstr>
      <vt:lpstr>L7</vt:lpstr>
      <vt:lpstr>Hoja1</vt:lpstr>
      <vt:lpstr>Linea_1</vt:lpstr>
      <vt:lpstr>Linea_2</vt:lpstr>
      <vt:lpstr>Linea_3</vt:lpstr>
      <vt:lpstr>Linea_4</vt:lpstr>
      <vt:lpstr>Linea_5</vt:lpstr>
      <vt:lpstr>Linea_6</vt:lpstr>
      <vt:lpstr>Linea_7</vt:lpstr>
      <vt:lpstr>MB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Hashem Jimenez</dc:creator>
  <cp:lastModifiedBy>Licencias3 WL</cp:lastModifiedBy>
  <cp:lastPrinted>2023-05-17T22:52:25Z</cp:lastPrinted>
  <dcterms:created xsi:type="dcterms:W3CDTF">2023-05-16T22:28:02Z</dcterms:created>
  <dcterms:modified xsi:type="dcterms:W3CDTF">2023-09-08T23:59:34Z</dcterms:modified>
</cp:coreProperties>
</file>