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1585CCDE-910B-4569-BA34-C2C93EDFB888}" xr6:coauthVersionLast="47" xr6:coauthVersionMax="47" xr10:uidLastSave="{00000000-0000-0000-0000-000000000000}"/>
  <bookViews>
    <workbookView xWindow="-110" yWindow="-110" windowWidth="19420" windowHeight="11020" firstSheet="4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/>
  <c r="K14" i="18" a="1"/>
  <c r="K14" i="18" s="1"/>
  <c r="K15" i="18" a="1"/>
  <c r="K15" i="18" s="1"/>
  <c r="K16" i="18" a="1"/>
  <c r="K16" i="18" s="1"/>
  <c r="K17" i="18" a="1"/>
  <c r="K17" i="18" s="1"/>
  <c r="K18" i="18" a="1"/>
  <c r="K18" i="18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/>
  <c r="K30" i="18" a="1"/>
  <c r="K30" i="18" s="1"/>
  <c r="K31" i="18" a="1"/>
  <c r="K31" i="18" s="1"/>
  <c r="K32" i="18" a="1"/>
  <c r="K32" i="18" s="1"/>
  <c r="K33" i="18" a="1"/>
  <c r="K33" i="18" s="1"/>
  <c r="K34" i="18" a="1"/>
  <c r="K34" i="18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/>
  <c r="K46" i="18" a="1"/>
  <c r="K46" i="18" s="1"/>
  <c r="K47" i="18" a="1"/>
  <c r="K47" i="18" s="1"/>
  <c r="K48" i="18" a="1"/>
  <c r="K48" i="18" s="1"/>
  <c r="K49" i="18" a="1"/>
  <c r="K49" i="18" s="1"/>
  <c r="K50" i="18" a="1"/>
  <c r="K50" i="18"/>
  <c r="K51" i="18" a="1"/>
  <c r="K51" i="18" s="1"/>
  <c r="K52" i="18" a="1"/>
  <c r="K52" i="18" s="1"/>
  <c r="D20" i="14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<sst xmlns="http://schemas.openxmlformats.org/spreadsheetml/2006/main" count="392" uniqueCount="252">
  <si>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</si>
  <si>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</si>
  <si>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</si>
  <si>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</si>
  <si>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</si>
  <si>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</si>
  <si>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</si>
  <si>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</si>
  <si>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</si>
  <si>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</si>
  <si>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</si>
  <si>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</si>
  <si>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</si>
  <si>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</si>
  <si>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</si>
  <si>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</si>
  <si>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</si>
  <si>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</si>
  <si>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</si>
  <si>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</si>
  <si>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</si>
  <si>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</si>
  <si>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</si>
  <si>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</si>
  <si>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</si>
  <si>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</si>
  <si>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</si>
  <si>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</si>
  <si>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</si>
  <si>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</si>
  <si>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</si>
  <si>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</si>
  <si>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</si>
  <si>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</si>
  <si>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</si>
  <si>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</si>
  <si>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</si>
  <si>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</si>
  <si>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</si>
  <si>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</si>
  <si>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</si>
  <si>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</si>
  <si>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</si>
  <si>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</si>
  <si>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</si>
  <si>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</si>
  <si>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</si>
  <si>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</si>
  <si>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</si>
  <si>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</si>
  <si>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</si>
  <si>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</si>
  <si>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</si>
  <si>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</si>
  <si>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</si>
  <si>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</si>
  <si>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</si>
  <si>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</si>
  <si>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</si>
  <si>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</si>
  <si>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</si>
  <si>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</si>
  <si>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</si>
  <si>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</si>
  <si>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</si>
  <si>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</si>
  <si>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</si>
  <si>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</si>
  <si>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</si>
  <si>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</si>
  <si>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</si>
  <si>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</si>
  <si>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</si>
  <si>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</si>
  <si>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</si>
  <si>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</si>
  <si>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</si>
  <si>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</si>
  <si>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</si>
  <si>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</si>
  <si>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</si>
  <si>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</si>
  <si>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</si>
  <si>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</si>
  <si>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</si>
  <si>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</si>
  <si>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</si>
  <si>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</si>
  <si>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</si>
  <si>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</si>
  <si>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</si>
  <si>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</si>
  <si>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</si>
  <si>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</si>
  <si>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</si>
  <si>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</si>
  <si>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</si>
  <si>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</si>
  <si>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</si>
  <si>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</si>
  <si>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</si>
  <si>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</si>
  <si>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</si>
  <si>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</si>
  <si>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</si>
  <si>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</si>
  <si>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</si>
  <si>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</si>
  <si>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</si>
  <si>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</si>
  <si>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</si>
  <si>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</si>
  <si>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</si>
  <si>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</si>
  <si>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</si>
  <si>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</si>
  <si>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</si>
  <si>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</si>
  <si>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</si>
  <si>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</si>
  <si>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</si>
  <si>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</si>
  <si>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</si>
  <si>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</si>
  <si>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</si>
  <si>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</si>
  <si>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</si>
  <si>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</si>
  <si>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</si>
  <si>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</si>
  <si>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</si>
  <si>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</si>
  <si>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</si>
  <si>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</si>
  <si>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</si>
  <si>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</si>
  <si>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</si>
  <si>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</si>
  <si>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</si>
  <si>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</si>
  <si>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</si>
  <si>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</si>
  <si>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</si>
  <si>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</si>
  <si>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</si>
  <si>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</si>
  <si>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</si>
  <si>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</si>
  <si>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</si>
  <si>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</si>
  <si>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</si>
  <si>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</si>
  <si>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</si>
  <si>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</si>
  <si>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</si>
  <si>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</si>
  <si>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</si>
  <si>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</si>
  <si>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</si>
  <si>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</si>
  <si>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</si>
  <si>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</si>
  <si>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</si>
  <si>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</si>
  <si>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</si>
  <si>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</si>
  <si>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</si>
  <si>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</si>
  <si>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</si>
  <si>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</si>
  <si>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</si>
  <si>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</si>
  <si>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</si>
  <si>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</si>
  <si>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</si>
  <si>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</si>
  <si>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</si>
  <si>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</si>
  <si>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</si>
  <si>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</si>
  <si>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</si>
  <si>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</si>
  <si>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</si>
  <si>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</si>
  <si>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</si>
  <si>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</si>
  <si>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</si>
  <si>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</si>
  <si>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</si>
  <si>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</si>
  <si>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</si>
  <si>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</si>
  <si>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</si>
  <si>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</si>
  <si>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</si>
  <si>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</si>
  <si>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</si>
  <si>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</si>
  <si>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</si>
  <si>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</si>
  <si>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</si>
  <si>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</si>
  <si>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</si>
  <si>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</si>
  <si>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</si>
  <si>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</si>
  <si>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</si>
  <si>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</si>
  <si>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</si>
  <si>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</si>
  <si>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</si>
  <si>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</si>
  <si>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</si>
  <si>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</si>
  <si>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</si>
  <si>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</si>
  <si>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</si>
  <si>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</si>
  <si>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</si>
  <si>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</si>
  <si>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</si>
  <si>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</si>
  <si>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</si>
  <si>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</si>
  <si>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</si>
  <si>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</si>
  <si>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</si>
  <si>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</si>
  <si>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</si>
  <si>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</si>
  <si>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</si>
  <si>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</si>
  <si>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</si>
  <si>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</si>
  <si>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</si>
  <si>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</si>
  <si>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</si>
  <si>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</si>
  <si>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</si>
  <si>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</si>
  <si>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</si>
  <si>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</si>
  <si>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</si>
  <si>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</si>
  <si>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</si>
  <si>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</si>
  <si>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</si>
  <si>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</si>
  <si>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</si>
  <si>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</si>
  <si>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</si>
  <si>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Velocidad de respuesta (m/s)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</si>
</sst>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55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137583</xdr:rowOff>
        </xdr:from>
        <xdr:to>
          <xdr:col>6</xdr:col>
          <xdr:colOff>1775884</xdr:colOff>
          <xdr:row>6</xdr:row>
          <xdr:rowOff>67733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3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53" dataDxfId="52">
  <autoFilter ref="A1:D49" xr:uid="{7E458205-B524-4893-8F4D-5AD9C32C1DB1}"/>
  <tableColumns count="4">
    <tableColumn id="9" xr3:uid="{01274717-D802-4E0B-B759-CF29B3AC66D4}" name="Linea" dataDxfId="51"/>
    <tableColumn id="1" xr3:uid="{CAACD12C-D1EE-4308-9E4A-8A5F3CC6EB3D}" name="Número" dataDxfId="50"/>
    <tableColumn id="2" xr3:uid="{F3BCB6C4-7176-4EF8-81E7-38DE67FC910A}" name="Estación" dataDxfId="49"/>
    <tableColumn id="8" xr3:uid="{DE548BF0-9331-40D2-BFFD-5751A7C3BC9B}" name="IP" dataDxfId="48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7" dataDxfId="46">
  <autoFilter ref="A1:D38" xr:uid="{CF63B8E9-037F-456D-B9CE-A641C7E05743}"/>
  <tableColumns count="4">
    <tableColumn id="8" xr3:uid="{69F0C78F-CE14-41C7-9A46-C6D9E9417C15}" name="Linea" dataDxfId="45"/>
    <tableColumn id="1" xr3:uid="{3D3DFA51-E186-4721-9A1C-90FB73B5E85B}" name="Número" dataDxfId="44"/>
    <tableColumn id="2" xr3:uid="{67B6548C-BED8-4BB9-9317-75FA2256E62B}" name="Estación" dataDxfId="43"/>
    <tableColumn id="7" xr3:uid="{D2EE6AF4-3466-48FF-BD9B-7CDE633659C0}" name="IP" dataDxfId="42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41" dataDxfId="40">
  <autoFilter ref="A1:D39" xr:uid="{46DBF878-8714-468D-AB57-6D87EE4F651B}"/>
  <tableColumns count="4">
    <tableColumn id="8" xr3:uid="{BBF50E85-1783-4ED1-84F5-81EDD6DA1892}" name="Linea" dataDxfId="39"/>
    <tableColumn id="1" xr3:uid="{B48485CC-962F-4CCD-AFCC-82C09CE5C77D}" name="Número" dataDxfId="38"/>
    <tableColumn id="2" xr3:uid="{27A38237-DA10-4BDC-A938-6BC51BEA68CB}" name="Estación" dataDxfId="37"/>
    <tableColumn id="7" xr3:uid="{EBA69F51-DD1A-4A70-8893-862371B4FF13}" name="IP" dataDxfId="36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35" dataDxfId="34">
  <autoFilter ref="A1:D5" xr:uid="{7E1605E0-D03C-40FF-BBFC-FB915F6C469C}"/>
  <tableColumns count="4">
    <tableColumn id="8" xr3:uid="{9A36B41A-6E03-4B21-B7B0-6A5C459B644F}" name="Linea" dataDxfId="33"/>
    <tableColumn id="1" xr3:uid="{8CBB99D6-461E-4BE3-AA4A-EB145333D9D2}" name="Número" dataDxfId="32"/>
    <tableColumn id="2" xr3:uid="{174E264C-8ABD-465C-8152-9D19DDCC326E}" name="Estación" dataDxfId="31"/>
    <tableColumn id="7" xr3:uid="{CBC3A8BC-91E6-41BC-B97F-D530DF4957E7}" name="IP" dataDxfId="30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9" dataDxfId="28">
  <autoFilter ref="A1:D52" xr:uid="{9D228135-7642-4AF6-AD66-2A339006015A}"/>
  <tableColumns count="4">
    <tableColumn id="9" xr3:uid="{FB80E68C-DF8C-4759-A957-FD20C9264F0B}" name="Linea" dataDxfId="27"/>
    <tableColumn id="1" xr3:uid="{52DE81E1-0AAA-4F49-B099-BDE1805560D2}" name="Número" dataDxfId="26"/>
    <tableColumn id="2" xr3:uid="{5E85BAAC-56F3-4F0B-9A6A-062BB9D48B0E}" name="Estación" dataDxfId="25"/>
    <tableColumn id="8" xr3:uid="{6FD41838-D5C8-4364-8261-D02ADA8D4543}" name="IP" dataDxfId="24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23" dataDxfId="22">
  <autoFilter ref="A1:D38" xr:uid="{612B74E8-FE54-4279-ADFA-0D90846798F3}"/>
  <tableColumns count="4">
    <tableColumn id="9" xr3:uid="{739C3434-DB76-4DB4-9C66-01B57541D7F3}" name="Linea" dataDxfId="21"/>
    <tableColumn id="1" xr3:uid="{03CF7848-F3FA-4585-9E3D-F24CD75A8782}" name="Número" dataDxfId="20"/>
    <tableColumn id="2" xr3:uid="{1D049ADE-6CB8-43ED-98A5-871DA65206CF}" name="Estación" dataDxfId="19"/>
    <tableColumn id="8" xr3:uid="{2C656A71-65BD-4E6F-8223-92C6EB765F98}" name="IP" dataDxfId="18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7" dataDxfId="16">
  <autoFilter ref="A1:D28" xr:uid="{51CFA3F2-B891-441F-8DD2-7A459E81D952}"/>
  <tableColumns count="4">
    <tableColumn id="9" xr3:uid="{B9D78AF5-D4ED-47F3-8BA7-772CAF1BEB8E}" name="Linea " dataDxfId="15"/>
    <tableColumn id="1" xr3:uid="{721F9B02-8324-4E75-9218-2268A76394A8}" name="Número" dataDxfId="14"/>
    <tableColumn id="2" xr3:uid="{CBAD77E0-72E2-47D0-8749-7A587F6D4291}" name="Estación" dataDxfId="13"/>
    <tableColumn id="8" xr3:uid="{9EDF1B7A-A70F-4962-805A-8FAF35295DFE}" name="IP" dataDxfId="12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5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12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60" zoomScaleNormal="60" workbookViewId="0">
      <selection activeCell="O7" sqref="O7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14.453125" customWidth="1"/>
    <col min="10" max="10" width="11.1796875" style="29" hidden="1" customWidth="1"/>
    <col min="11" max="11" width="13" style="29" hidden="1" customWidth="1"/>
    <col min="12" max="12" width="14.81640625" style="29" hidden="1" customWidth="1"/>
    <col min="13" max="13" width="54.1796875" style="29" hidden="1" customWidth="1"/>
    <col min="16" max="16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10.1.1.100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10.1.2.100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10.1.3.100</v>
      </c>
    </row>
    <row r="5" spans="2:13" x14ac:dyDescent="0.35">
      <c r="B5" s="40" t="s">
        <v>242</v>
      </c>
      <c r="C5" s="40"/>
      <c r="D5" s="40"/>
      <c r="E5" s="34"/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10.1.4.100</v>
      </c>
    </row>
    <row r="6" spans="2:13" x14ac:dyDescent="0.35">
      <c r="B6" s="39" t="s">
        <v>234</v>
      </c>
      <c r="C6" s="39"/>
      <c r="D6" s="39"/>
      <c r="E6"/>
      <c r="J6" s="28" t="s">
        <v>238</v>
      </c>
      <c r="K6" s="28" t="str">
        <f t="array" ref="K6">IF($B$6="Linea_1",'L1'!G6:G53,IF($B$6="Linea_2",'L2'!G6:G42,IF($B$6="Linea_3",'L3'!G6:G43,IF($B$6="Linea_4",'L4'!G6:G9,IF($B$6="Linea_5",'L5'!G6:G56,IF($B$6="Linea_6",'L6'!G6:G42,IF($B$6="Linea_7",'L7'!G6:G32)))))))</f>
        <v>10.1.5.100</v>
      </c>
    </row>
    <row r="7" spans="2:13" x14ac:dyDescent="0.35">
      <c r="J7" s="28" t="s">
        <v>239</v>
      </c>
      <c r="K7" s="28" t="str">
        <f t="array" ref="K7">IF($B$6="Linea_1",'L1'!G7:G54,IF($B$6="Linea_2",'L2'!G7:G43,IF($B$6="Linea_3",'L3'!G7:G44,IF($B$6="Linea_4",'L4'!G7:G10,IF($B$6="Linea_5",'L5'!G7:G57,IF($B$6="Linea_6",'L6'!G7:G43,IF($B$6="Linea_7",'L7'!G7:G33)))))))</f>
        <v>10.1.6.100</v>
      </c>
    </row>
    <row r="8" spans="2:13" x14ac:dyDescent="0.35">
      <c r="B8" s="33" t="str" cm="1">
        <f t="array" aca="1" ref="B8:E56" ca="1">INDIRECT(B6)</f>
        <v>Linea</v>
      </c>
      <c r="C8" s="33" t="str">
        <f ca="1"/>
        <v>Número</v>
      </c>
      <c r="D8" s="33" t="str">
        <f ca="1"/>
        <v>Estación</v>
      </c>
      <c r="E8" s="33" t="str">
        <f ca="1"/>
        <v>IP</v>
      </c>
      <c r="F8" s="32" t="s">
        <v>250</v>
      </c>
      <c r="G8" s="31" t="s">
        <v>251</v>
      </c>
      <c r="J8" s="28" t="s">
        <v>240</v>
      </c>
      <c r="K8" s="28" t="str">
        <f t="array" ref="K8">IF($B$6="Linea_1",'L1'!G8:G55,IF($B$6="Linea_2",'L2'!G8:G44,IF($B$6="Linea_3",'L3'!G8:G45,IF($B$6="Linea_4",'L4'!G8:G11,IF($B$6="Linea_5",'L5'!G8:G58,IF($B$6="Linea_6",'L6'!G8:G44,IF($B$6="Linea_7",'L7'!G8:G34)))))))</f>
        <v>10.1.7.100</v>
      </c>
    </row>
    <row r="9" spans="2:13" x14ac:dyDescent="0.35">
      <c r="B9" s="21">
        <f ca="1"/>
        <v>1</v>
      </c>
      <c r="C9" s="21">
        <f ca="1"/>
        <v>1</v>
      </c>
      <c r="D9" s="22" t="str">
        <f ca="1"/>
        <v>Indios verdes</v>
      </c>
      <c r="E9" s="22" t="str">
        <f ca="1"/>
        <v>http://10.1.1.100</v>
      </c>
      <c r="F9" s="35" t="s">
        <v>233</v>
      </c>
      <c r="G9" s="37" t="s">
        <v>233</v>
      </c>
      <c r="K9" s="28" t="str">
        <f t="array" ref="K9">IF($B$6="Linea_1",'L1'!G9:G56,IF($B$6="Linea_2",'L2'!G9:G45,IF($B$6="Linea_3",'L3'!G9:G46,IF($B$6="Linea_4",'L4'!G9:G12,IF($B$6="Linea_5",'L5'!G9:G59,IF($B$6="Linea_6",'L6'!G9:G45,IF($B$6="Linea_7",'L7'!G9:G35)))))))</f>
        <v>10.1.8.100</v>
      </c>
    </row>
    <row r="10" spans="2:13" x14ac:dyDescent="0.35">
      <c r="B10" s="21">
        <f ca="1"/>
        <v>1</v>
      </c>
      <c r="C10" s="21">
        <f ca="1"/>
        <v>2</v>
      </c>
      <c r="D10" s="22" t="str">
        <f ca="1"/>
        <v>Deportivo 18 de Marzo</v>
      </c>
      <c r="E10" s="22" t="str">
        <f ca="1"/>
        <v>http://10.1.2.100</v>
      </c>
      <c r="F10" s="36" t="s">
        <v>233</v>
      </c>
      <c r="G10" s="38" t="s">
        <v>233</v>
      </c>
      <c r="K10" s="28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10.1.9.100</v>
      </c>
    </row>
    <row r="11" spans="2:13" x14ac:dyDescent="0.35">
      <c r="B11" s="21">
        <f ca="1"/>
        <v>1</v>
      </c>
      <c r="C11" s="21">
        <f ca="1"/>
        <v>3</v>
      </c>
      <c r="D11" s="22" t="str">
        <f ca="1"/>
        <v>Euzkaro</v>
      </c>
      <c r="E11" s="22" t="str">
        <f ca="1"/>
        <v>http://10.1.3.100</v>
      </c>
      <c r="F11" s="36" t="s">
        <v>233</v>
      </c>
      <c r="G11" s="38" t="s">
        <v>233</v>
      </c>
      <c r="K11" s="28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10.1.10.100</v>
      </c>
    </row>
    <row r="12" spans="2:13" x14ac:dyDescent="0.35">
      <c r="B12" s="21">
        <f ca="1"/>
        <v>1</v>
      </c>
      <c r="C12" s="21">
        <f ca="1"/>
        <v>4</v>
      </c>
      <c r="D12" s="22" t="str">
        <f ca="1"/>
        <v>Potrero</v>
      </c>
      <c r="E12" s="22" t="str">
        <f ca="1"/>
        <v>http://10.1.4.100</v>
      </c>
      <c r="F12" s="36" t="s">
        <v>233</v>
      </c>
      <c r="G12" s="38" t="s">
        <v>233</v>
      </c>
      <c r="K12" s="28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10.1.11.100</v>
      </c>
    </row>
    <row r="13" spans="2:13" x14ac:dyDescent="0.35">
      <c r="B13" s="21">
        <f ca="1"/>
        <v>1</v>
      </c>
      <c r="C13" s="21">
        <f ca="1"/>
        <v>5</v>
      </c>
      <c r="D13" s="22" t="str">
        <f ca="1"/>
        <v>La Raza</v>
      </c>
      <c r="E13" s="22" t="str">
        <f ca="1"/>
        <v>http://10.1.5.100</v>
      </c>
      <c r="F13" s="36" t="s">
        <v>233</v>
      </c>
      <c r="G13" s="38" t="s">
        <v>233</v>
      </c>
      <c r="K13" s="28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10.1.12.100</v>
      </c>
    </row>
    <row r="14" spans="2:13" x14ac:dyDescent="0.35">
      <c r="B14" s="21">
        <f ca="1"/>
        <v>1</v>
      </c>
      <c r="C14" s="21">
        <f ca="1"/>
        <v>6</v>
      </c>
      <c r="D14" s="22" t="str">
        <f ca="1"/>
        <v>Circuito</v>
      </c>
      <c r="E14" s="22" t="str">
        <f ca="1"/>
        <v>http://10.1.6.100</v>
      </c>
      <c r="F14" s="36" t="s">
        <v>233</v>
      </c>
      <c r="G14" s="38" t="s">
        <v>233</v>
      </c>
      <c r="K14" s="28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10.1.13.100</v>
      </c>
    </row>
    <row r="15" spans="2:13" x14ac:dyDescent="0.35">
      <c r="B15" s="21">
        <f ca="1"/>
        <v>1</v>
      </c>
      <c r="C15" s="21">
        <f ca="1"/>
        <v>7</v>
      </c>
      <c r="D15" s="22" t="str">
        <f ca="1"/>
        <v>San Simón</v>
      </c>
      <c r="E15" s="22" t="str">
        <f ca="1"/>
        <v>http://10.1.7.100</v>
      </c>
      <c r="F15" s="36" t="s">
        <v>233</v>
      </c>
      <c r="G15" s="38" t="s">
        <v>233</v>
      </c>
      <c r="K15" s="28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10.1.14.100</v>
      </c>
    </row>
    <row r="16" spans="2:13" x14ac:dyDescent="0.35">
      <c r="B16" s="21">
        <f ca="1"/>
        <v>1</v>
      </c>
      <c r="C16" s="21">
        <f ca="1"/>
        <v>8</v>
      </c>
      <c r="D16" s="22" t="str">
        <f ca="1"/>
        <v>Manuel González</v>
      </c>
      <c r="E16" s="22" t="str">
        <f ca="1"/>
        <v>http://10.1.8.100</v>
      </c>
      <c r="F16" s="36" t="s">
        <v>233</v>
      </c>
      <c r="G16" s="38" t="s">
        <v>233</v>
      </c>
      <c r="K16" s="28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10.1.15.100</v>
      </c>
    </row>
    <row r="17" spans="2:11" x14ac:dyDescent="0.35">
      <c r="B17" s="21">
        <f ca="1"/>
        <v>1</v>
      </c>
      <c r="C17" s="21">
        <f ca="1"/>
        <v>9</v>
      </c>
      <c r="D17" s="22" t="str">
        <f ca="1"/>
        <v>Buenavista</v>
      </c>
      <c r="E17" s="22" t="str">
        <f ca="1"/>
        <v>http://10.1.9.100</v>
      </c>
      <c r="F17" s="36" t="s">
        <v>233</v>
      </c>
      <c r="G17" s="38" t="s">
        <v>233</v>
      </c>
      <c r="K17" s="28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10.1.16.100</v>
      </c>
    </row>
    <row r="18" spans="2:11" x14ac:dyDescent="0.35">
      <c r="B18" s="21">
        <f ca="1"/>
        <v>1</v>
      </c>
      <c r="C18" s="21">
        <f ca="1"/>
        <v>10</v>
      </c>
      <c r="D18" s="22" t="str">
        <f ca="1"/>
        <v>El Chopo</v>
      </c>
      <c r="E18" s="22" t="str">
        <f ca="1"/>
        <v>http://10.1.10.100</v>
      </c>
      <c r="F18" s="36" t="s">
        <v>233</v>
      </c>
      <c r="G18" s="38" t="s">
        <v>233</v>
      </c>
      <c r="K18" s="28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10.1.17.100</v>
      </c>
    </row>
    <row r="19" spans="2:11" x14ac:dyDescent="0.35">
      <c r="B19" s="21">
        <f ca="1"/>
        <v>1</v>
      </c>
      <c r="C19" s="21">
        <f ca="1"/>
        <v>11</v>
      </c>
      <c r="D19" s="22" t="str">
        <f ca="1"/>
        <v>Revolución</v>
      </c>
      <c r="E19" s="22" t="str">
        <f ca="1"/>
        <v>http://10.1.11.100</v>
      </c>
      <c r="F19" s="36" t="s">
        <v>233</v>
      </c>
      <c r="G19" s="38" t="s">
        <v>233</v>
      </c>
      <c r="K19" s="28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10.1.18.100</v>
      </c>
    </row>
    <row r="20" spans="2:11" x14ac:dyDescent="0.35">
      <c r="B20" s="21">
        <f ca="1"/>
        <v>1</v>
      </c>
      <c r="C20" s="21">
        <f ca="1"/>
        <v>12</v>
      </c>
      <c r="D20" s="22" t="str">
        <f ca="1"/>
        <v>Plaza de la república</v>
      </c>
      <c r="E20" s="22" t="str">
        <f ca="1"/>
        <v>http://10.1.12.100</v>
      </c>
      <c r="F20" s="36" t="s">
        <v>233</v>
      </c>
      <c r="G20" s="38" t="s">
        <v>233</v>
      </c>
      <c r="K20" s="28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10.1.19.100</v>
      </c>
    </row>
    <row r="21" spans="2:11" x14ac:dyDescent="0.35">
      <c r="B21" s="21">
        <f ca="1"/>
        <v>1</v>
      </c>
      <c r="C21" s="21">
        <f ca="1"/>
        <v>13</v>
      </c>
      <c r="D21" s="22" t="str">
        <f ca="1"/>
        <v>Reforma</v>
      </c>
      <c r="E21" s="22" t="str">
        <f ca="1"/>
        <v>http://10.1.13.100</v>
      </c>
      <c r="F21" s="36" t="s">
        <v>233</v>
      </c>
      <c r="G21" s="38" t="s">
        <v>233</v>
      </c>
      <c r="K21" s="28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10.1.20.100</v>
      </c>
    </row>
    <row r="22" spans="2:11" x14ac:dyDescent="0.35">
      <c r="B22" s="21">
        <f ca="1"/>
        <v>1</v>
      </c>
      <c r="C22" s="21">
        <f ca="1"/>
        <v>14</v>
      </c>
      <c r="D22" s="22" t="str">
        <f ca="1"/>
        <v>Hamburgo</v>
      </c>
      <c r="E22" s="22" t="str">
        <f ca="1"/>
        <v>http://10.1.14.100</v>
      </c>
      <c r="F22" s="36" t="s">
        <v>233</v>
      </c>
      <c r="G22" s="38" t="s">
        <v>233</v>
      </c>
      <c r="K22" s="28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10.1.21.100</v>
      </c>
    </row>
    <row r="23" spans="2:11" x14ac:dyDescent="0.35">
      <c r="B23" s="21">
        <f ca="1"/>
        <v>1</v>
      </c>
      <c r="C23" s="21">
        <f ca="1"/>
        <v>15</v>
      </c>
      <c r="D23" s="22" t="str">
        <f ca="1"/>
        <v>Glorieta Insurgentes</v>
      </c>
      <c r="E23" s="22" t="str">
        <f ca="1"/>
        <v>http://10.1.15.100</v>
      </c>
      <c r="F23" s="36" t="s">
        <v>233</v>
      </c>
      <c r="G23" s="38" t="s">
        <v>233</v>
      </c>
      <c r="K23" s="28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10.1.22.100</v>
      </c>
    </row>
    <row r="24" spans="2:11" x14ac:dyDescent="0.35">
      <c r="B24" s="21">
        <f ca="1"/>
        <v>1</v>
      </c>
      <c r="C24" s="21">
        <f ca="1"/>
        <v>16</v>
      </c>
      <c r="D24" s="22" t="str">
        <f ca="1"/>
        <v>Durango</v>
      </c>
      <c r="E24" s="22" t="str">
        <f ca="1"/>
        <v>http://10.1.16.100</v>
      </c>
      <c r="F24" s="36" t="s">
        <v>233</v>
      </c>
      <c r="G24" s="38" t="s">
        <v>233</v>
      </c>
      <c r="K24" s="28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10.1.23.100</v>
      </c>
    </row>
    <row r="25" spans="2:11" x14ac:dyDescent="0.35">
      <c r="B25" s="21">
        <f ca="1"/>
        <v>1</v>
      </c>
      <c r="C25" s="21">
        <f ca="1"/>
        <v>17</v>
      </c>
      <c r="D25" s="22" t="str">
        <f ca="1"/>
        <v>Álvaro Obregón</v>
      </c>
      <c r="E25" s="22" t="str">
        <f ca="1"/>
        <v>http://10.1.17.100</v>
      </c>
      <c r="F25" s="36" t="s">
        <v>233</v>
      </c>
      <c r="G25" s="38" t="s">
        <v>233</v>
      </c>
      <c r="K25" s="28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10.1.24.100</v>
      </c>
    </row>
    <row r="26" spans="2:11" x14ac:dyDescent="0.35">
      <c r="B26" s="21">
        <f ca="1"/>
        <v>1</v>
      </c>
      <c r="C26" s="21">
        <f ca="1"/>
        <v>18</v>
      </c>
      <c r="D26" s="22" t="str">
        <f ca="1"/>
        <v>Sonora</v>
      </c>
      <c r="E26" s="22" t="str">
        <f ca="1"/>
        <v>http://10.1.18.100</v>
      </c>
      <c r="F26" s="36" t="s">
        <v>233</v>
      </c>
      <c r="G26" s="38" t="s">
        <v>233</v>
      </c>
      <c r="K26" s="28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10.1.25.100</v>
      </c>
    </row>
    <row r="27" spans="2:11" x14ac:dyDescent="0.35">
      <c r="B27" s="21">
        <f ca="1"/>
        <v>1</v>
      </c>
      <c r="C27" s="21">
        <f ca="1"/>
        <v>19</v>
      </c>
      <c r="D27" s="22" t="str">
        <f ca="1"/>
        <v>Campeche</v>
      </c>
      <c r="E27" s="22" t="str">
        <f ca="1"/>
        <v>http://10.1.19.100</v>
      </c>
      <c r="F27" s="36" t="s">
        <v>233</v>
      </c>
      <c r="G27" s="38" t="s">
        <v>233</v>
      </c>
      <c r="K27" s="28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10.1.26.100</v>
      </c>
    </row>
    <row r="28" spans="2:11" x14ac:dyDescent="0.35">
      <c r="B28" s="21">
        <f ca="1"/>
        <v>1</v>
      </c>
      <c r="C28" s="21">
        <f ca="1"/>
        <v>20</v>
      </c>
      <c r="D28" s="22" t="str">
        <f ca="1"/>
        <v>Chilpancingo</v>
      </c>
      <c r="E28" s="22" t="str">
        <f ca="1"/>
        <v>http://10.1.20.100</v>
      </c>
      <c r="F28" s="36" t="s">
        <v>233</v>
      </c>
      <c r="G28" s="38" t="s">
        <v>233</v>
      </c>
      <c r="K28" s="28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10.1.27.100</v>
      </c>
    </row>
    <row r="29" spans="2:11" x14ac:dyDescent="0.35">
      <c r="B29" s="21">
        <f ca="1"/>
        <v>1</v>
      </c>
      <c r="C29" s="21">
        <f ca="1"/>
        <v>21</v>
      </c>
      <c r="D29" s="22" t="str">
        <f ca="1"/>
        <v>Nuevo León</v>
      </c>
      <c r="E29" s="22" t="str">
        <f ca="1"/>
        <v>http://10.1.21.100</v>
      </c>
      <c r="F29" s="36" t="s">
        <v>233</v>
      </c>
      <c r="G29" s="38" t="s">
        <v>233</v>
      </c>
      <c r="K29" s="28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10.1.28.100</v>
      </c>
    </row>
    <row r="30" spans="2:11" x14ac:dyDescent="0.35">
      <c r="B30" s="21">
        <f ca="1"/>
        <v>1</v>
      </c>
      <c r="C30" s="21">
        <f ca="1"/>
        <v>22</v>
      </c>
      <c r="D30" s="22" t="str">
        <f ca="1"/>
        <v>La Piedad</v>
      </c>
      <c r="E30" s="22" t="str">
        <f ca="1"/>
        <v>http://10.1.22.100</v>
      </c>
      <c r="F30" s="36" t="s">
        <v>233</v>
      </c>
      <c r="G30" s="38" t="s">
        <v>233</v>
      </c>
      <c r="K30" s="28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10.1.29.100</v>
      </c>
    </row>
    <row r="31" spans="2:11" x14ac:dyDescent="0.35">
      <c r="B31" s="21">
        <f ca="1"/>
        <v>1</v>
      </c>
      <c r="C31" s="21">
        <f ca="1"/>
        <v>23</v>
      </c>
      <c r="D31" s="22" t="str">
        <f ca="1"/>
        <v>Polifórum</v>
      </c>
      <c r="E31" s="22" t="str">
        <f ca="1"/>
        <v>http://10.1.23.100</v>
      </c>
      <c r="F31" s="36" t="s">
        <v>233</v>
      </c>
      <c r="G31" s="38" t="s">
        <v>233</v>
      </c>
      <c r="K31" s="28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10.1.30.100</v>
      </c>
    </row>
    <row r="32" spans="2:11" x14ac:dyDescent="0.35">
      <c r="B32" s="21">
        <f ca="1"/>
        <v>1</v>
      </c>
      <c r="C32" s="21">
        <f ca="1"/>
        <v>24</v>
      </c>
      <c r="D32" s="22" t="str">
        <f ca="1"/>
        <v>Nápoles</v>
      </c>
      <c r="E32" s="22" t="str">
        <f ca="1"/>
        <v>http://10.1.24.100</v>
      </c>
      <c r="F32" s="36" t="s">
        <v>233</v>
      </c>
      <c r="G32" s="38" t="s">
        <v>233</v>
      </c>
      <c r="K32" s="28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10.1.31.100</v>
      </c>
    </row>
    <row r="33" spans="2:11" x14ac:dyDescent="0.35">
      <c r="B33" s="21">
        <f ca="1"/>
        <v>1</v>
      </c>
      <c r="C33" s="21">
        <f ca="1"/>
        <v>25</v>
      </c>
      <c r="D33" s="22" t="str">
        <f ca="1"/>
        <v>Colonia del Valle</v>
      </c>
      <c r="E33" s="22" t="str">
        <f ca="1"/>
        <v>http://10.1.25.100</v>
      </c>
      <c r="F33" s="36" t="s">
        <v>233</v>
      </c>
      <c r="G33" s="38" t="s">
        <v>233</v>
      </c>
      <c r="K33" s="28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10.1.32.100</v>
      </c>
    </row>
    <row r="34" spans="2:11" x14ac:dyDescent="0.35">
      <c r="B34" s="21">
        <f ca="1"/>
        <v>1</v>
      </c>
      <c r="C34" s="21">
        <f ca="1"/>
        <v>26</v>
      </c>
      <c r="D34" s="22" t="str">
        <f ca="1"/>
        <v>Ciudad de los deportes</v>
      </c>
      <c r="E34" s="22" t="str">
        <f ca="1"/>
        <v>http://10.1.26.100</v>
      </c>
      <c r="F34" s="36" t="s">
        <v>233</v>
      </c>
      <c r="G34" s="38" t="s">
        <v>233</v>
      </c>
      <c r="K34" s="28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10.1.33.100</v>
      </c>
    </row>
    <row r="35" spans="2:11" x14ac:dyDescent="0.35">
      <c r="B35" s="21">
        <f ca="1"/>
        <v>1</v>
      </c>
      <c r="C35" s="21">
        <f ca="1"/>
        <v>27</v>
      </c>
      <c r="D35" s="22" t="str">
        <f ca="1"/>
        <v>Parque Hundido</v>
      </c>
      <c r="E35" s="22" t="str">
        <f ca="1"/>
        <v>http://10.1.27.100</v>
      </c>
      <c r="F35" s="36" t="s">
        <v>233</v>
      </c>
      <c r="G35" s="38" t="s">
        <v>233</v>
      </c>
      <c r="K35" s="28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10.1.34.100</v>
      </c>
    </row>
    <row r="36" spans="2:11" x14ac:dyDescent="0.35">
      <c r="B36" s="21">
        <f ca="1"/>
        <v>1</v>
      </c>
      <c r="C36" s="21">
        <f ca="1"/>
        <v>28</v>
      </c>
      <c r="D36" s="22" t="str">
        <f ca="1"/>
        <v>Félix Cuevas</v>
      </c>
      <c r="E36" s="22" t="str">
        <f ca="1"/>
        <v>http://10.1.28.100</v>
      </c>
      <c r="F36" s="36" t="s">
        <v>233</v>
      </c>
      <c r="G36" s="38" t="s">
        <v>233</v>
      </c>
      <c r="K36" s="28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10.1.35.100</v>
      </c>
    </row>
    <row r="37" spans="2:11" x14ac:dyDescent="0.35">
      <c r="B37" s="21">
        <f ca="1"/>
        <v>1</v>
      </c>
      <c r="C37" s="21">
        <f ca="1"/>
        <v>29</v>
      </c>
      <c r="D37" s="22" t="str">
        <f ca="1"/>
        <v>Río Churubusco</v>
      </c>
      <c r="E37" s="22" t="str">
        <f ca="1"/>
        <v>http://10.1.29.100</v>
      </c>
      <c r="F37" s="36" t="s">
        <v>233</v>
      </c>
      <c r="G37" s="38" t="s">
        <v>233</v>
      </c>
      <c r="K37" s="28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10.1.36.100</v>
      </c>
    </row>
    <row r="38" spans="2:11" x14ac:dyDescent="0.35">
      <c r="B38" s="21">
        <f ca="1"/>
        <v>1</v>
      </c>
      <c r="C38" s="21">
        <f ca="1"/>
        <v>30</v>
      </c>
      <c r="D38" s="22" t="str">
        <f ca="1"/>
        <v>Teatro Insurgentes</v>
      </c>
      <c r="E38" s="22" t="str">
        <f ca="1"/>
        <v>http://10.1.30.100</v>
      </c>
      <c r="F38" s="36" t="s">
        <v>233</v>
      </c>
      <c r="G38" s="38" t="s">
        <v>233</v>
      </c>
      <c r="K38" s="28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10.1.37.100</v>
      </c>
    </row>
    <row r="39" spans="2:11" x14ac:dyDescent="0.35">
      <c r="B39" s="21">
        <f ca="1"/>
        <v>1</v>
      </c>
      <c r="C39" s="21">
        <f ca="1"/>
        <v>31</v>
      </c>
      <c r="D39" s="22" t="str">
        <f ca="1"/>
        <v>Jose Maria Velasco</v>
      </c>
      <c r="E39" s="22" t="str">
        <f ca="1"/>
        <v>http://10.1.31.100</v>
      </c>
      <c r="F39" s="36" t="s">
        <v>233</v>
      </c>
      <c r="G39" s="38" t="s">
        <v>233</v>
      </c>
      <c r="K39" s="28" t="str">
        <f t="array" ref="K39">IF($B$6="Linea_1",'L1'!G39:G86,IF($B$6="Linea_2",'L2'!G39:G75,IF($B$6="Linea_3",'L3'!G39:G76,IF($B$6="Linea_4",'L4'!G39:G42,IF($B$6="Linea_5",'L5'!G39:G89,IF($B$6="Linea_6",'L6'!G39:G75,IF($B$6="Linea_7",'L7'!G39:G65)))))))</f>
        <v>10.1.38.100</v>
      </c>
    </row>
    <row r="40" spans="2:11" x14ac:dyDescent="0.35">
      <c r="B40" s="21">
        <f ca="1"/>
        <v>1</v>
      </c>
      <c r="C40" s="21">
        <f ca="1"/>
        <v>32</v>
      </c>
      <c r="D40" s="22" t="str">
        <f ca="1"/>
        <v>Francia</v>
      </c>
      <c r="E40" s="22" t="str">
        <f ca="1"/>
        <v>http://10.1.32.100</v>
      </c>
      <c r="F40" s="36" t="s">
        <v>233</v>
      </c>
      <c r="G40" s="38" t="s">
        <v>233</v>
      </c>
      <c r="K40" s="28" t="str">
        <f t="array" ref="K40">IF($B$6="Linea_1",'L1'!G40:G87,IF($B$6="Linea_2",'L2'!G40:G76,IF($B$6="Linea_3",'L3'!G40:G77,IF($B$6="Linea_4",'L4'!G40:G43,IF($B$6="Linea_5",'L5'!G40:G90,IF($B$6="Linea_6",'L6'!G40:G76,IF($B$6="Linea_7",'L7'!G40:G66)))))))</f>
        <v>10.1.39.100</v>
      </c>
    </row>
    <row r="41" spans="2:11" x14ac:dyDescent="0.35">
      <c r="B41" s="21">
        <f ca="1"/>
        <v>1</v>
      </c>
      <c r="C41" s="21">
        <f ca="1"/>
        <v>33</v>
      </c>
      <c r="D41" s="22" t="str">
        <f ca="1"/>
        <v>Olivo</v>
      </c>
      <c r="E41" s="22" t="str">
        <f ca="1"/>
        <v>http://10.1.33.100</v>
      </c>
      <c r="F41" s="36" t="s">
        <v>233</v>
      </c>
      <c r="G41" s="38" t="s">
        <v>233</v>
      </c>
      <c r="K41" s="28" t="str">
        <f t="array" ref="K41">IF($B$6="Linea_1",'L1'!G41:G88,IF($B$6="Linea_2",'L2'!G41:G77,IF($B$6="Linea_3",'L3'!G41:G78,IF($B$6="Linea_4",'L4'!G41:G44,IF($B$6="Linea_5",'L5'!G41:G91,IF($B$6="Linea_6",'L6'!G41:G77,IF($B$6="Linea_7",'L7'!G41:G67)))))))</f>
        <v>10.1.40.100</v>
      </c>
    </row>
    <row r="42" spans="2:11" x14ac:dyDescent="0.35">
      <c r="B42" s="21">
        <f ca="1"/>
        <v>1</v>
      </c>
      <c r="C42" s="21">
        <f ca="1"/>
        <v>34</v>
      </c>
      <c r="D42" s="22" t="str">
        <f ca="1"/>
        <v>Altavista</v>
      </c>
      <c r="E42" s="22" t="str">
        <f ca="1"/>
        <v>http://10.1.34.100</v>
      </c>
      <c r="F42" s="36" t="s">
        <v>233</v>
      </c>
      <c r="G42" s="38" t="s">
        <v>233</v>
      </c>
      <c r="K42" s="28" t="str">
        <f t="array" ref="K42">IF($B$6="Linea_1",'L1'!G42:G89,IF($B$6="Linea_2",'L2'!G42:G78,IF($B$6="Linea_3",'L3'!G42:G79,IF($B$6="Linea_4",'L4'!G42:G45,IF($B$6="Linea_5",'L5'!G42:G92,IF($B$6="Linea_6",'L6'!G42:G78,IF($B$6="Linea_7",'L7'!G42:G68)))))))</f>
        <v>10.1.41.100</v>
      </c>
    </row>
    <row r="43" spans="2:11" x14ac:dyDescent="0.35">
      <c r="B43" s="21">
        <f ca="1"/>
        <v>1</v>
      </c>
      <c r="C43" s="21">
        <f ca="1"/>
        <v>35</v>
      </c>
      <c r="D43" s="22" t="str">
        <f ca="1"/>
        <v>La Bombilla</v>
      </c>
      <c r="E43" s="22" t="str">
        <f ca="1"/>
        <v>http://10.1.35.100</v>
      </c>
      <c r="F43" s="36" t="s">
        <v>233</v>
      </c>
      <c r="G43" s="38" t="s">
        <v>233</v>
      </c>
      <c r="K43" s="28" t="str">
        <f t="array" ref="K43">IF($B$6="Linea_1",'L1'!G43:G90,IF($B$6="Linea_2",'L2'!G43:G79,IF($B$6="Linea_3",'L3'!G43:G80,IF($B$6="Linea_4",'L4'!G43:G46,IF($B$6="Linea_5",'L5'!G43:G93,IF($B$6="Linea_6",'L6'!G43:G79,IF($B$6="Linea_7",'L7'!G43:G69)))))))</f>
        <v>10.1.42.100</v>
      </c>
    </row>
    <row r="44" spans="2:11" x14ac:dyDescent="0.35">
      <c r="B44" s="21">
        <f ca="1"/>
        <v>1</v>
      </c>
      <c r="C44" s="21">
        <f ca="1"/>
        <v>36</v>
      </c>
      <c r="D44" s="22" t="str">
        <f ca="1"/>
        <v>Doctor Gálvez Sur</v>
      </c>
      <c r="E44" s="22" t="str">
        <f ca="1"/>
        <v>http://10.1.36.100</v>
      </c>
      <c r="F44" s="36" t="s">
        <v>233</v>
      </c>
      <c r="G44" s="38" t="s">
        <v>233</v>
      </c>
      <c r="K44" s="28" t="str">
        <f t="array" ref="K44">IF($B$6="Linea_1",'L1'!G44:G91,IF($B$6="Linea_2",'L2'!G44:G80,IF($B$6="Linea_3",'L3'!G44:G81,IF($B$6="Linea_4",'L4'!G44:G47,IF($B$6="Linea_5",'L5'!G44:G94,IF($B$6="Linea_6",'L6'!G44:G80,IF($B$6="Linea_7",'L7'!G44:G70)))))))</f>
        <v>10.1.43.100</v>
      </c>
    </row>
    <row r="45" spans="2:11" x14ac:dyDescent="0.35">
      <c r="B45" s="21">
        <f ca="1"/>
        <v>1</v>
      </c>
      <c r="C45" s="21">
        <f ca="1"/>
        <v>37</v>
      </c>
      <c r="D45" s="22" t="str">
        <f ca="1"/>
        <v>Doctor Gálvez Norte</v>
      </c>
      <c r="E45" s="22" t="str">
        <f ca="1"/>
        <v>http://10.1.37.100</v>
      </c>
      <c r="F45" s="36" t="s">
        <v>233</v>
      </c>
      <c r="G45" s="38" t="s">
        <v>233</v>
      </c>
      <c r="K45" s="28" t="str">
        <f t="array" ref="K45">IF($B$6="Linea_1",'L1'!G45:G92,IF($B$6="Linea_2",'L2'!G45:G81,IF($B$6="Linea_3",'L3'!G45:G82,IF($B$6="Linea_4",'L4'!G45:G48,IF($B$6="Linea_5",'L5'!G45:G95,IF($B$6="Linea_6",'L6'!G45:G81,IF($B$6="Linea_7",'L7'!G45:G71)))))))</f>
        <v>10.1.44.100</v>
      </c>
    </row>
    <row r="46" spans="2:11" x14ac:dyDescent="0.35">
      <c r="B46" s="21">
        <f ca="1"/>
        <v>1</v>
      </c>
      <c r="C46" s="21">
        <f ca="1"/>
        <v>38</v>
      </c>
      <c r="D46" s="22" t="str">
        <f ca="1"/>
        <v>C. U.</v>
      </c>
      <c r="E46" s="22" t="str">
        <f ca="1"/>
        <v>http://10.1.38.100</v>
      </c>
      <c r="F46" s="36" t="s">
        <v>233</v>
      </c>
      <c r="G46" s="38" t="s">
        <v>233</v>
      </c>
      <c r="K46" s="28" t="str">
        <f t="array" ref="K46">IF($B$6="Linea_1",'L1'!G46:G93,IF($B$6="Linea_2",'L2'!G46:G82,IF($B$6="Linea_3",'L3'!G46:G83,IF($B$6="Linea_4",'L4'!G46:G49,IF($B$6="Linea_5",'L5'!G46:G96,IF($B$6="Linea_6",'L6'!G46:G82,IF($B$6="Linea_7",'L7'!G46:G72)))))))</f>
        <v>10.1.45.100</v>
      </c>
    </row>
    <row r="47" spans="2:11" x14ac:dyDescent="0.35">
      <c r="B47" s="21">
        <f ca="1"/>
        <v>1</v>
      </c>
      <c r="C47" s="21">
        <f ca="1"/>
        <v>39</v>
      </c>
      <c r="D47" s="22" t="str">
        <f ca="1"/>
        <v>Perisur</v>
      </c>
      <c r="E47" s="22" t="str">
        <f ca="1"/>
        <v>http://10.1.39.100</v>
      </c>
      <c r="F47" s="36" t="s">
        <v>233</v>
      </c>
      <c r="G47" s="38" t="s">
        <v>233</v>
      </c>
      <c r="K47" s="28" t="str">
        <f t="array" ref="K47">IF($B$6="Linea_1",'L1'!G47:G94,IF($B$6="Linea_2",'L2'!G47:G83,IF($B$6="Linea_3",'L3'!G47:G84,IF($B$6="Linea_4",'L4'!G47:G50,IF($B$6="Linea_5",'L5'!G47:G97,IF($B$6="Linea_6",'L6'!G47:G83,IF($B$6="Linea_7",'L7'!G47:G73)))))))</f>
        <v>10.1.46.100</v>
      </c>
    </row>
    <row r="48" spans="2:11" x14ac:dyDescent="0.35">
      <c r="B48" s="21">
        <f ca="1"/>
        <v>1</v>
      </c>
      <c r="C48" s="21">
        <f ca="1"/>
        <v>40</v>
      </c>
      <c r="D48" s="22" t="str">
        <f ca="1"/>
        <v>Villa olímpica</v>
      </c>
      <c r="E48" s="22" t="str">
        <f ca="1"/>
        <v>http://10.1.40.100</v>
      </c>
      <c r="F48" s="36" t="s">
        <v>233</v>
      </c>
      <c r="G48" s="38" t="s">
        <v>233</v>
      </c>
      <c r="K48" s="28" t="str">
        <f t="array" ref="K48">IF($B$6="Linea_1",'L1'!G48:G95,IF($B$6="Linea_2",'L2'!G48:G84,IF($B$6="Linea_3",'L3'!G48:G85,IF($B$6="Linea_4",'L4'!G48:G51,IF($B$6="Linea_5",'L5'!G48:G98,IF($B$6="Linea_6",'L6'!G48:G84,IF($B$6="Linea_7",'L7'!G48:G74)))))))</f>
        <v>10.1.47.100</v>
      </c>
    </row>
    <row r="49" spans="2:11" x14ac:dyDescent="0.35">
      <c r="B49" s="21">
        <f ca="1"/>
        <v>1</v>
      </c>
      <c r="C49" s="21">
        <f ca="1"/>
        <v>41</v>
      </c>
      <c r="D49" s="22" t="str">
        <f ca="1"/>
        <v>Corregidora</v>
      </c>
      <c r="E49" s="22" t="str">
        <f ca="1"/>
        <v>http://10.1.41.100</v>
      </c>
      <c r="F49" s="36" t="s">
        <v>233</v>
      </c>
      <c r="G49" s="38" t="s">
        <v>233</v>
      </c>
      <c r="K49" s="28" t="str">
        <f t="array" ref="K49">IF($B$6="Linea_1",'L1'!G49:G96,IF($B$6="Linea_2",'L2'!G49:G85,IF($B$6="Linea_3",'L3'!G49:G86,IF($B$6="Linea_4",'L4'!G49:G52,IF($B$6="Linea_5",'L5'!G49:G99,IF($B$6="Linea_6",'L6'!G49:G85,IF($B$6="Linea_7",'L7'!G49:G75)))))))</f>
        <v>10.1.48.100</v>
      </c>
    </row>
    <row r="50" spans="2:11" x14ac:dyDescent="0.35">
      <c r="B50" s="21">
        <f ca="1"/>
        <v>1</v>
      </c>
      <c r="C50" s="21">
        <f ca="1"/>
        <v>42</v>
      </c>
      <c r="D50" s="22" t="str">
        <f ca="1"/>
        <v>Ayuntamiento</v>
      </c>
      <c r="E50" s="22" t="str">
        <f ca="1"/>
        <v>http://10.1.42.100</v>
      </c>
      <c r="F50" s="36" t="s">
        <v>233</v>
      </c>
      <c r="G50" s="38" t="s">
        <v>233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>
        <f ca="1"/>
        <v>1</v>
      </c>
      <c r="C51" s="21">
        <f ca="1"/>
        <v>43</v>
      </c>
      <c r="D51" s="22" t="str">
        <f ca="1"/>
        <v>Fuentes Brotantes</v>
      </c>
      <c r="E51" s="22" t="str">
        <f ca="1"/>
        <v>http://10.1.43.100</v>
      </c>
      <c r="F51" s="36" t="s">
        <v>233</v>
      </c>
      <c r="G51" s="38" t="s">
        <v>233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>
        <f ca="1"/>
        <v>1</v>
      </c>
      <c r="C52" s="21">
        <f ca="1"/>
        <v>44</v>
      </c>
      <c r="D52" s="22" t="str">
        <f ca="1"/>
        <v>Santa Úrsula</v>
      </c>
      <c r="E52" s="22" t="str">
        <f ca="1"/>
        <v>http://10.1.44.100</v>
      </c>
      <c r="F52" s="36" t="s">
        <v>233</v>
      </c>
      <c r="G52" s="38" t="s">
        <v>233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>
        <f ca="1"/>
        <v>1</v>
      </c>
      <c r="C53" s="21">
        <f ca="1"/>
        <v>45</v>
      </c>
      <c r="D53" s="22" t="str">
        <f ca="1"/>
        <v>La Joya</v>
      </c>
      <c r="E53" s="22" t="str">
        <f ca="1"/>
        <v>http://10.1.45.100</v>
      </c>
      <c r="F53" s="36" t="s">
        <v>233</v>
      </c>
      <c r="G53" s="38" t="s">
        <v>233</v>
      </c>
    </row>
    <row r="54" spans="2:11" x14ac:dyDescent="0.35">
      <c r="B54" s="21">
        <f ca="1"/>
        <v>1</v>
      </c>
      <c r="C54" s="21">
        <f ca="1"/>
        <v>46</v>
      </c>
      <c r="D54" s="22" t="str">
        <f ca="1"/>
        <v>El Caminero</v>
      </c>
      <c r="E54" s="22" t="str">
        <f ca="1"/>
        <v>http://10.1.46.100</v>
      </c>
      <c r="F54" s="36" t="s">
        <v>233</v>
      </c>
      <c r="G54" s="38" t="s">
        <v>233</v>
      </c>
    </row>
    <row r="55" spans="2:11" x14ac:dyDescent="0.35">
      <c r="B55" s="21">
        <f ca="1"/>
        <v>1</v>
      </c>
      <c r="C55" s="21">
        <f ca="1"/>
        <v>47</v>
      </c>
      <c r="D55" s="22" t="str">
        <f ca="1"/>
        <v>Buenavista II</v>
      </c>
      <c r="E55" s="22" t="str">
        <f ca="1"/>
        <v>http://10.1.47.100</v>
      </c>
      <c r="F55" s="36" t="s">
        <v>233</v>
      </c>
      <c r="G55" s="38" t="s">
        <v>233</v>
      </c>
    </row>
    <row r="56" spans="2:11" x14ac:dyDescent="0.35">
      <c r="B56" s="21">
        <f ca="1"/>
        <v>1</v>
      </c>
      <c r="C56" s="21">
        <f ca="1"/>
        <v>48</v>
      </c>
      <c r="D56" s="22" t="str">
        <f ca="1"/>
        <v>CCU</v>
      </c>
      <c r="E56" s="22" t="str">
        <f ca="1"/>
        <v>http://10.1.48.100</v>
      </c>
      <c r="F56" s="36" t="s">
        <v>233</v>
      </c>
      <c r="G56" s="38" t="s">
        <v>233</v>
      </c>
    </row>
    <row r="57" spans="2:11" x14ac:dyDescent="0.35">
      <c r="B57" s="21"/>
      <c r="C57" s="21"/>
      <c r="D57" s="22"/>
      <c r="E57" s="22"/>
      <c r="F57" s="36" t="s">
        <v>233</v>
      </c>
      <c r="G57" s="38" t="s">
        <v>233</v>
      </c>
    </row>
    <row r="58" spans="2:11" x14ac:dyDescent="0.35">
      <c r="B58" s="21"/>
      <c r="C58" s="21"/>
      <c r="D58" s="22"/>
      <c r="E58" s="22"/>
      <c r="F58" s="36" t="s">
        <v>233</v>
      </c>
      <c r="G58" s="38" t="s">
        <v>233</v>
      </c>
    </row>
    <row r="59" spans="2:11" x14ac:dyDescent="0.35">
      <c r="B59" s="21"/>
      <c r="C59" s="21"/>
      <c r="D59" s="22"/>
      <c r="E59" s="22"/>
      <c r="F59" s="36" t="s">
        <v>233</v>
      </c>
      <c r="G59" s="38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11" priority="13">
      <formula>"Desconectado"</formula>
    </cfRule>
  </conditionalFormatting>
  <conditionalFormatting sqref="F9:F59">
    <cfRule type="cellIs" dxfId="10" priority="7" operator="equal">
      <formula>"[ERROR]"</formula>
    </cfRule>
    <cfRule type="cellIs" dxfId="9" priority="8" operator="equal">
      <formula>"[OK]"</formula>
    </cfRule>
    <cfRule type="cellIs" dxfId="8" priority="9" operator="equal">
      <formula>"INESTABLE"</formula>
    </cfRule>
    <cfRule type="cellIs" dxfId="7" priority="10" operator="equal">
      <formula>"ESTABLE"</formula>
    </cfRule>
    <cfRule type="cellIs" dxfId="6" priority="11" operator="equal">
      <formula>"Conectado"</formula>
    </cfRule>
    <cfRule type="cellIs" dxfId="5" priority="12" operator="equal">
      <formula>"Desconectado"</formula>
    </cfRule>
  </conditionalFormatting>
  <conditionalFormatting sqref="G9:G59">
    <cfRule type="cellIs" dxfId="0" priority="6" operator="greaterThan">
      <formula>100</formula>
    </cfRule>
    <cfRule type="cellIs" dxfId="1" priority="5" operator="lessThan">
      <formula>90</formula>
    </cfRule>
    <cfRule type="cellIs" dxfId="2" priority="4" operator="equal">
      <formula>"SLOW"</formula>
    </cfRule>
    <cfRule type="cellIs" dxfId="3" priority="2" operator="equal">
      <formula>""" """</formula>
    </cfRule>
    <cfRule type="cellIs" dxfId="4" priority="1" operator="greaterThan">
      <formula>90</formula>
    </cfRule>
  </conditionalFormatting>
  <conditionalFormatting sqref="B6:D6">
    <cfRule type="expression" priority="3">
      <formula>IF($K$2:$K$52,CLEARCONTENT)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2023-09-20T00:13:36Z</dcterms:modified>
</cp:coreProperties>
</file>